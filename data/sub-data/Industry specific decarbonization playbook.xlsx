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naire-Metal castings an" sheetId="1" r:id="rId5"/>
    <sheet state="visible" name="Initiatives logic database" sheetId="2" r:id="rId6"/>
    <sheet state="visible" name="FurnaceBoiler - Fuel switch" sheetId="3" r:id="rId7"/>
    <sheet state="visible" name="Motor upgrade - emissions savin" sheetId="4" r:id="rId8"/>
    <sheet state="visible" name="Compressor" sheetId="5" r:id="rId9"/>
    <sheet state="visible" name="Air conditioner" sheetId="6" r:id="rId10"/>
    <sheet state="visible" name="BLDC fans-emissions savings" sheetId="7" r:id="rId11"/>
    <sheet state="visible" name="LED retrofit-emissions savings" sheetId="8" r:id="rId12"/>
    <sheet state="visible" name="Dual fuel kit retrofit in DG se" sheetId="9" r:id="rId13"/>
    <sheet state="visible" name="AL Supplier Analysis-Pilot" sheetId="10" r:id="rId14"/>
    <sheet state="visible" name="AL supplier decarbonization rec" sheetId="11" r:id="rId15"/>
    <sheet state="visible" name="Electric Truck" sheetId="12" r:id="rId16"/>
  </sheets>
  <definedNames>
    <definedName hidden="1" localSheetId="1" name="_xlnm._FilterDatabase">'Initiatives logic database'!$A$2:$I$32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tc={acfb225f-a883-4cad-9787-63b021838194}</author>
  </authors>
  <commentList>
    <comment authorId="0" xr:uid="{acfb225f-a883-4cad-9787-63b0218381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recheck
</t>
      </text>
    </comment>
  </commentList>
</comments>
</file>

<file path=xl/sharedStrings.xml><?xml version="1.0" encoding="utf-8"?>
<sst xmlns="http://schemas.openxmlformats.org/spreadsheetml/2006/main" count="1257" uniqueCount="732">
  <si>
    <t>Technical and Operational Diagnostic Questionnaire</t>
  </si>
  <si>
    <t>Section A- Furnace and Thermal Systems</t>
  </si>
  <si>
    <t>Question no.</t>
  </si>
  <si>
    <t>Question</t>
  </si>
  <si>
    <t>Response</t>
  </si>
  <si>
    <t>Trigger logic</t>
  </si>
  <si>
    <t>What type of melting and heat treatment furnace do you use?</t>
  </si>
  <si>
    <t>Gas-fired furnace</t>
  </si>
  <si>
    <t>Total number of furnaces</t>
  </si>
  <si>
    <t>Number of Cupola furnaces</t>
  </si>
  <si>
    <t>Cupola (coke fired) → Recommend transition to gas fired furnace&gt;Induction furnace</t>
  </si>
  <si>
    <t>Average age of Cupola furnaces</t>
  </si>
  <si>
    <t>&gt;20 years → Efficiency retrofit / replacement feasibility</t>
  </si>
  <si>
    <t>Number of oil-fired furnaces</t>
  </si>
  <si>
    <t>Oil-fired → Recommend trasition to gas-fired&gt;Induction furnace</t>
  </si>
  <si>
    <t>Average age of oil-fired furnaces</t>
  </si>
  <si>
    <t>Number of gas-fired furnaces</t>
  </si>
  <si>
    <t>Gas fired---&gt; Recommend electrification</t>
  </si>
  <si>
    <t>Average age of gas-fired furnaces</t>
  </si>
  <si>
    <t>Number of induction furnaces</t>
  </si>
  <si>
    <t>No induction furnace----&gt; Recommend transition to induction furnace</t>
  </si>
  <si>
    <t>Average age of induction furnaces</t>
  </si>
  <si>
    <t>&gt;20 years induction → Recommend high-frequency upgrade</t>
  </si>
  <si>
    <t>Is waste heat recovery installed on furnaces?</t>
  </si>
  <si>
    <t>No WHR→ Recommend WHR (e.g. recuperator)</t>
  </si>
  <si>
    <t>Number of furnaces in which waste heat recovery installed</t>
  </si>
  <si>
    <t>Not relevant for induction furnace, since there is no flue gas generation that can be used for recovering waste heat</t>
  </si>
  <si>
    <t>Do you use oxygen enrichment and combustion optimization methods to improve your energy efficiency?</t>
  </si>
  <si>
    <t>Recommendations will be given if the company responds 'No'.</t>
  </si>
  <si>
    <t>Is temperature monitoring automated?</t>
  </si>
  <si>
    <t>Manual → Digital controls upgrade</t>
  </si>
  <si>
    <t>Section B- Motors and Drives</t>
  </si>
  <si>
    <t>What type of motors are installed at your facility?</t>
  </si>
  <si>
    <t>IE1/IE2 → Motor upgrade recommendation/ Unknown motor class→ Motor audit</t>
  </si>
  <si>
    <t>Are VFDs installed on electrical equipment?</t>
  </si>
  <si>
    <t>Yes</t>
  </si>
  <si>
    <t>No VFD → VFD retrofit initiative</t>
  </si>
  <si>
    <t>Number of equipment in which VFD is installed</t>
  </si>
  <si>
    <t>Number of equipment in which VFD installation is possible but yet not installed</t>
  </si>
  <si>
    <t>Section C- Compressed Air System</t>
  </si>
  <si>
    <t>Total number of compressors</t>
  </si>
  <si>
    <t>Type of compressors used</t>
  </si>
  <si>
    <t>Reciprocating → VSD Screw compressor upgrade</t>
  </si>
  <si>
    <t>Number of reciprocating compressors</t>
  </si>
  <si>
    <t>Fixed speed screw----&gt; Installation VFD/ VSD screw upgrade</t>
  </si>
  <si>
    <t>Average age of reciprocating compressors</t>
  </si>
  <si>
    <t>VSD screw---&gt; upgrade to centrifugal (only if high loads required)</t>
  </si>
  <si>
    <t>Number of fixed-speed screw compressors</t>
  </si>
  <si>
    <t>Average age of fixed-speed screw compressors</t>
  </si>
  <si>
    <t>Number of VSD screw compressors</t>
  </si>
  <si>
    <t>Average age of VSD screw compressors</t>
  </si>
  <si>
    <t>Number of centrifugal compressors</t>
  </si>
  <si>
    <t>Average age of centrifugal compressors</t>
  </si>
  <si>
    <t>Number of other type of compressors</t>
  </si>
  <si>
    <t>Average age of other type of compressors</t>
  </si>
  <si>
    <t>Do you have leak management system for your compressed air system?</t>
  </si>
  <si>
    <t>No monitoring → Leak detection system</t>
  </si>
  <si>
    <t>Section D- Cooling and Utilities</t>
  </si>
  <si>
    <t>What type of cooling system do you have?</t>
  </si>
  <si>
    <t>Cooling tower</t>
  </si>
  <si>
    <t>Open loop → Closed-loop conversion</t>
  </si>
  <si>
    <t>Do you have cooling tower fans</t>
  </si>
  <si>
    <t>Conventional chiller → PHE optimization</t>
  </si>
  <si>
    <t>Section E- Renewable Energy and Procurement</t>
  </si>
  <si>
    <t>Do you use renewable energy?</t>
  </si>
  <si>
    <t>No RE → Recommed Rooftop Solar or purchase of RE</t>
  </si>
  <si>
    <t>Secrion F- Digital &amp; Energy Management</t>
  </si>
  <si>
    <t>Do you have an Energy Management System that is ISO 50001 certified?</t>
  </si>
  <si>
    <t>No ISO → Energy management system roadmap</t>
  </si>
  <si>
    <t>Do you have sub-meters installed at process level/ individual production line?</t>
  </si>
  <si>
    <t>No submetering → Digital monitoring initiative</t>
  </si>
  <si>
    <t>Section G- Production and Scrap</t>
  </si>
  <si>
    <t>What is your yield loss in %?</t>
  </si>
  <si>
    <t>High yield loss%----&gt; Process Optimization</t>
  </si>
  <si>
    <t>What is your re-melt rate in %?</t>
  </si>
  <si>
    <t>High re-melt rate----&gt; Process optimization</t>
  </si>
  <si>
    <t>Section H- Diesel Generators</t>
  </si>
  <si>
    <t>Do you have diesel generators?</t>
  </si>
  <si>
    <t>Number of DG sets</t>
  </si>
  <si>
    <t>Do you have DG sets with power rating of &gt;200 kVA?</t>
  </si>
  <si>
    <t>Do you have diesel-PNG dual fuel kits installed in your DG sets?</t>
  </si>
  <si>
    <t>If diesel-PNG dual kit is not installed---&gt; consider installing dual fuel kits in DG sets</t>
  </si>
  <si>
    <t>Asset Type</t>
  </si>
  <si>
    <t>Condition</t>
  </si>
  <si>
    <t>Threshold</t>
  </si>
  <si>
    <t>Recommendation</t>
  </si>
  <si>
    <t>Scope</t>
  </si>
  <si>
    <t>Capex Benchmark</t>
  </si>
  <si>
    <t>Energy Savings</t>
  </si>
  <si>
    <t>Payback</t>
  </si>
  <si>
    <t>Motor</t>
  </si>
  <si>
    <t>Motor efficiency ≤ IE2</t>
  </si>
  <si>
    <t>How many IE2 motors with power rating greater than 5 kW operate at your facility?</t>
  </si>
  <si>
    <t>Power ≥5 kW AND Hours ≥3000</t>
  </si>
  <si>
    <t>Replace with IE3/IE4/IE5 motor</t>
  </si>
  <si>
    <t>Scope 2</t>
  </si>
  <si>
    <t>₹7,000–10,000/kW</t>
  </si>
  <si>
    <t>5–10%</t>
  </si>
  <si>
    <t>2–4 yrs</t>
  </si>
  <si>
    <t>What are the annual operating hours of IE2 motors? Provide for each such motor.</t>
  </si>
  <si>
    <t>Pump/Fan</t>
  </si>
  <si>
    <t>Variable load AND no VFD</t>
  </si>
  <si>
    <t>How many pumps operate on variable load at your facility?</t>
  </si>
  <si>
    <t>Power ≥7.5 kW AND variable load</t>
  </si>
  <si>
    <t>Install VFD</t>
  </si>
  <si>
    <t>₹4,000–8,000/kW</t>
  </si>
  <si>
    <t>20–40%</t>
  </si>
  <si>
    <t>1–3 yrs</t>
  </si>
  <si>
    <t>How many pumps with power rating greater than 7.5 kW are functioning at your facility?</t>
  </si>
  <si>
    <t>How many pumps with power rating greater than 7.5 kW have VFD installed?</t>
  </si>
  <si>
    <t>Frequent idle operation</t>
  </si>
  <si>
    <t>What are the typical idle operating hours of the motors installed at your facility?</t>
  </si>
  <si>
    <t>Hours ≥2500</t>
  </si>
  <si>
    <t>Install auto shut-off / idle control</t>
  </si>
  <si>
    <t>₹50k–₹2L</t>
  </si>
  <si>
    <t>5–15%</t>
  </si>
  <si>
    <t>&lt;2 yrs</t>
  </si>
  <si>
    <t>Compressor</t>
  </si>
  <si>
    <t>Leak audit not conducted</t>
  </si>
  <si>
    <t>Do you conduct a leak detection and repair program at your facility on regular basis?</t>
  </si>
  <si>
    <t>No LDAR</t>
  </si>
  <si>
    <t>Conduct leak detection &amp; fixing</t>
  </si>
  <si>
    <t>Part of overall site maintenance</t>
  </si>
  <si>
    <t>NA</t>
  </si>
  <si>
    <t>Demand variability high</t>
  </si>
  <si>
    <t>How many fixed speed screw compressors are installed at your facility?</t>
  </si>
  <si>
    <t>Fixed speed compressor</t>
  </si>
  <si>
    <t>Install VSD compressor</t>
  </si>
  <si>
    <t>₹8L–₹30L</t>
  </si>
  <si>
    <t>20–35%</t>
  </si>
  <si>
    <t>Compressor system</t>
  </si>
  <si>
    <t>Pressure fluctuations</t>
  </si>
  <si>
    <t>Do you have intelligent flow controller installed in your compressor systems?</t>
  </si>
  <si>
    <t>No flow controller</t>
  </si>
  <si>
    <t>Install intelligent flow controller</t>
  </si>
  <si>
    <t>₹5L–₹15L</t>
  </si>
  <si>
    <t>10–25%</t>
  </si>
  <si>
    <t>Furnace</t>
  </si>
  <si>
    <t>Fuel combustion furnace</t>
  </si>
  <si>
    <t>Do you have oxy-fuel burners installed in your furnaces?</t>
  </si>
  <si>
    <t>No</t>
  </si>
  <si>
    <t>Install oxy-fuel burners</t>
  </si>
  <si>
    <t>Scope 1</t>
  </si>
  <si>
    <t>Do you have magnetic resonators installed for fuel magnetic conditioning in your furnace burners?</t>
  </si>
  <si>
    <t>Install magnetic resonators</t>
  </si>
  <si>
    <t>Do you have any of these high efficiency burners installed in your furnaces - regenerative burners, low NOx burners or pulse firing burners?</t>
  </si>
  <si>
    <t>Install high efficiency burners</t>
  </si>
  <si>
    <t>Do you have automatic combustion system (like O2 trim control) installed in your furnace?</t>
  </si>
  <si>
    <t>Install O2 trim control system</t>
  </si>
  <si>
    <t>₹2L–₹10L</t>
  </si>
  <si>
    <t>1–2 yrs</t>
  </si>
  <si>
    <t>Exhaust temp high</t>
  </si>
  <si>
    <t>What is the flue gas/exhaust gas temperature from your furnace?</t>
  </si>
  <si>
    <t>If flue gas temperature &gt;400°C</t>
  </si>
  <si>
    <t>Waste heat recovery system</t>
  </si>
  <si>
    <t>₹20L–₹2Cr</t>
  </si>
  <si>
    <t>Do you have a waste heat recovery system installed in your furnace?</t>
  </si>
  <si>
    <t>Fossil fuel furnace</t>
  </si>
  <si>
    <t>How many furnace oil furnaces are installed at your facility?</t>
  </si>
  <si>
    <t>Coal/FO/diesel</t>
  </si>
  <si>
    <t>Switch to Biofuel/PNG/LPG/Induction furnace</t>
  </si>
  <si>
    <t>Site specific</t>
  </si>
  <si>
    <r>
      <rPr/>
      <t xml:space="preserve">
</t>
    </r>
    <r>
      <rPr>
        <color rgb="FF1155CC"/>
        <u/>
      </rPr>
      <t>https://docs.google.com/spreadsheets/d/1y_7USpWFmeh3RAkzC-bHZ1ffTl8MBB0PZiUmP3LJlUk/edit?gid=1201408005#gid=1201408005</t>
    </r>
  </si>
  <si>
    <t>How many diesel furnaces are installed at your facility?</t>
  </si>
  <si>
    <t>How many coal fired furnaces are installed at your facility?</t>
  </si>
  <si>
    <t>Boiler</t>
  </si>
  <si>
    <t>Fossil fuel boiler</t>
  </si>
  <si>
    <t>Do you have any of these high efficiency burners installed in your boilers - low NOx burners, high turndown burners, O2 trim control system?</t>
  </si>
  <si>
    <t>What is the flue gas/exhaust gas temperature from your boiler?</t>
  </si>
  <si>
    <t>Waste heat recovery boiler</t>
  </si>
  <si>
    <t>No economizer</t>
  </si>
  <si>
    <t>Do you have economizer/s installed in your boilers for waste heat recovery?</t>
  </si>
  <si>
    <t>Install economizer</t>
  </si>
  <si>
    <t>₹5L–₹20L</t>
  </si>
  <si>
    <t>5–12% fuel savings</t>
  </si>
  <si>
    <t>How many furnace oil boilers are installed at your facility?</t>
  </si>
  <si>
    <t>Switch to Biofuel/PNG/LPG/Electric boiler</t>
  </si>
  <si>
    <r>
      <rPr/>
      <t xml:space="preserve">
</t>
    </r>
    <r>
      <rPr>
        <color rgb="FF1155CC"/>
        <u/>
      </rPr>
      <t>https://docs.google.com/spreadsheets/d/1y_7USpWFmeh3RAkzC-bHZ1ffTl8MBB0PZiUmP3LJlUk/edit?gid=1201408005#gid=1201408005</t>
    </r>
  </si>
  <si>
    <t>How many diesel boilers are installed at your facility?</t>
  </si>
  <si>
    <t>How many coal fired boilers are installed at your facility?</t>
  </si>
  <si>
    <t>Manual blow down</t>
  </si>
  <si>
    <t>Do you have manual blowdown management for your boilers?</t>
  </si>
  <si>
    <t>Install automatic blowdown system</t>
  </si>
  <si>
    <t>Scope 1 or Scope 2</t>
  </si>
  <si>
    <t>Electrical system</t>
  </si>
  <si>
    <t>Power factor &lt;0.95</t>
  </si>
  <si>
    <t>Have you installed APFC (Autotmatic Power Factor Correction) panel for improving the electrical efficiency of the equipments at your facility?</t>
  </si>
  <si>
    <t>Install APFC panel</t>
  </si>
  <si>
    <t>₹1L–₹5L</t>
  </si>
  <si>
    <t>5–10% bill savings</t>
  </si>
  <si>
    <t>Lighting</t>
  </si>
  <si>
    <t>Non LED</t>
  </si>
  <si>
    <t>Have you installed LED lights for lighting requirements at your facility?</t>
  </si>
  <si>
    <t>LED light installation</t>
  </si>
  <si>
    <t>₹300–₹800/fixture</t>
  </si>
  <si>
    <t>40–60%</t>
  </si>
  <si>
    <t>&lt;1 yr</t>
  </si>
  <si>
    <t>Fans</t>
  </si>
  <si>
    <t>Conventional ceiling fans</t>
  </si>
  <si>
    <t>Do you have conventional ceiling fans at your facility? If yes, please mention the number of such fans.</t>
  </si>
  <si>
    <t>Install BLDC fans</t>
  </si>
  <si>
    <t>₹2500-3500/fan</t>
  </si>
  <si>
    <t>55–65% energy/emissions savings</t>
  </si>
  <si>
    <t>Solar/Wind power</t>
  </si>
  <si>
    <t>Roof space available</t>
  </si>
  <si>
    <t>Have you ever conducted a feasibility study to estimate rooftop solar requirements for your facility?</t>
  </si>
  <si>
    <t>Feasibility study is recommended to ascertain requirement of rooftop solar</t>
  </si>
  <si>
    <t>₹40k–₹55k/kW</t>
  </si>
  <si>
    <t>20–40% Scope 2 reduction</t>
  </si>
  <si>
    <t>4–6 yrs</t>
  </si>
  <si>
    <t>Facility</t>
  </si>
  <si>
    <t>High electricity consumption</t>
  </si>
  <si>
    <t>Is your required load greater than 1 MW?</t>
  </si>
  <si>
    <t>&gt;1 MW load</t>
  </si>
  <si>
    <t>Purchase open access renewable power to cut down Scope 2 emissions</t>
  </si>
  <si>
    <t>Contract based</t>
  </si>
  <si>
    <t>Up to 100% renewable electricity</t>
  </si>
  <si>
    <t>3–5 yrs</t>
  </si>
  <si>
    <t>Emissions savings calculation due to fuel switch in furnaces</t>
  </si>
  <si>
    <t>Existing fuel</t>
  </si>
  <si>
    <t>Upgrade to</t>
  </si>
  <si>
    <t>EF of existing fuel (kgCO2e/kWh Net CV)
Source: DEFRA 2025</t>
  </si>
  <si>
    <t>EF of upgraded fuel (kgCO2e/kWh Net CV)
Source: DEFRA 2025</t>
  </si>
  <si>
    <t>Emissions saved (kgCO2e/kWh Net CV)</t>
  </si>
  <si>
    <t>Emissions saved (%)</t>
  </si>
  <si>
    <t>Coke</t>
  </si>
  <si>
    <t>Furnace Oil</t>
  </si>
  <si>
    <t>LPG</t>
  </si>
  <si>
    <t>LNG</t>
  </si>
  <si>
    <t>PNG</t>
  </si>
  <si>
    <t>Biodiesel</t>
  </si>
  <si>
    <t>Compressed biomethane</t>
  </si>
  <si>
    <t>Liquefied biomethane</t>
  </si>
  <si>
    <t>Emissions savings calculation for shifting from FO-fired billet heating furnace to induction billet heating furnace</t>
  </si>
  <si>
    <t>FO required (kg/ton of billet)</t>
  </si>
  <si>
    <t>Reference</t>
  </si>
  <si>
    <t>EF of FO (kgCO2e/kg) 
Source: IPCC</t>
  </si>
  <si>
    <r>
      <rPr>
        <color rgb="FF1155CC"/>
        <u/>
      </rPr>
      <t>DETAILED PROJECT REPORT MICRO TURBINE</t>
    </r>
  </si>
  <si>
    <t>Emissions (kgCO2e/ton of billet)</t>
  </si>
  <si>
    <t>Electrcity consumed (kWh/ton of billet)</t>
  </si>
  <si>
    <t>Grid EF (kgCO2e/ kWh)</t>
  </si>
  <si>
    <t>Emissions saved (kgCO2e/ton of billet)</t>
  </si>
  <si>
    <t>Motor class</t>
  </si>
  <si>
    <t>Baseline motor efficiency</t>
  </si>
  <si>
    <t>User provided motor efficiency</t>
  </si>
  <si>
    <t>Default capex - Least</t>
  </si>
  <si>
    <t>Default capex - Max</t>
  </si>
  <si>
    <t>User provided capex</t>
  </si>
  <si>
    <t>`</t>
  </si>
  <si>
    <t>Units</t>
  </si>
  <si>
    <t>Input example</t>
  </si>
  <si>
    <t>Notes</t>
  </si>
  <si>
    <t>Least</t>
  </si>
  <si>
    <t>Max</t>
  </si>
  <si>
    <t>(If available with user)</t>
  </si>
  <si>
    <t>(in INR/kW)</t>
  </si>
  <si>
    <t>Current motor make and model</t>
  </si>
  <si>
    <t>Text</t>
  </si>
  <si>
    <t>Name of company and model</t>
  </si>
  <si>
    <t>To be selected by user from dropdowns</t>
  </si>
  <si>
    <t>Motor name</t>
  </si>
  <si>
    <t>XX2345</t>
  </si>
  <si>
    <t>User input</t>
  </si>
  <si>
    <t>IE1</t>
  </si>
  <si>
    <t>Motor rating</t>
  </si>
  <si>
    <t>kW</t>
  </si>
  <si>
    <t>Units (HP/kW) to be decided by the user</t>
  </si>
  <si>
    <t>IE2</t>
  </si>
  <si>
    <t>Current motor efficiency class</t>
  </si>
  <si>
    <t>-</t>
  </si>
  <si>
    <t>IE3</t>
  </si>
  <si>
    <t>Target motor efficiency class</t>
  </si>
  <si>
    <t>IE4</t>
  </si>
  <si>
    <t>Load factor (%)</t>
  </si>
  <si>
    <t>Percentage</t>
  </si>
  <si>
    <t>User input (default value is 80%)</t>
  </si>
  <si>
    <t>IE5</t>
  </si>
  <si>
    <t>Operating hours/year</t>
  </si>
  <si>
    <t>Number of hours/year</t>
  </si>
  <si>
    <t xml:space="preserve">Electricity tariff </t>
  </si>
  <si>
    <t>INR/kWh</t>
  </si>
  <si>
    <t>Grid emission factor</t>
  </si>
  <si>
    <t>kgCO₂e/kWh</t>
  </si>
  <si>
    <t>Default India Grid Emission factor</t>
  </si>
  <si>
    <t>Number of motors to be upgraded</t>
  </si>
  <si>
    <t>Number</t>
  </si>
  <si>
    <t>Capex of current motor class</t>
  </si>
  <si>
    <t>INR/kW</t>
  </si>
  <si>
    <t>Capex of target motor class</t>
  </si>
  <si>
    <t>User Input</t>
  </si>
  <si>
    <t>Number of years of operation of current motor class</t>
  </si>
  <si>
    <t>years</t>
  </si>
  <si>
    <t>Lifetime of target motor class</t>
  </si>
  <si>
    <t>Default is 10. Can be user input.</t>
  </si>
  <si>
    <t>Calculation</t>
  </si>
  <si>
    <t>Rater power of current motor class</t>
  </si>
  <si>
    <t>If motor rating is given in HP, then use the formula given in the cell. Else, the motor rating will be the same as given in the table above.</t>
  </si>
  <si>
    <t>Input power required for current motor class</t>
  </si>
  <si>
    <t>Based on baseline motor efficiency - Least</t>
  </si>
  <si>
    <t>Annual energy consumption for current motor class</t>
  </si>
  <si>
    <t>kWh</t>
  </si>
  <si>
    <t>Input power for target motor class</t>
  </si>
  <si>
    <t>Annual energy consumption for target motor class</t>
  </si>
  <si>
    <t>Annual energy savings</t>
  </si>
  <si>
    <t>Annual GHG emissions savings</t>
  </si>
  <si>
    <t>kgCO2e/year</t>
  </si>
  <si>
    <t>Annual energy cost savings</t>
  </si>
  <si>
    <t>INR/year</t>
  </si>
  <si>
    <t>Present value of current motor class</t>
  </si>
  <si>
    <t>INR</t>
  </si>
  <si>
    <t>Discount factor assumed is 8%</t>
  </si>
  <si>
    <t>Incremental cost for motor upgrade per motor</t>
  </si>
  <si>
    <t>Based on baseline capex - least</t>
  </si>
  <si>
    <t>Net Present Value of energy cost savings over lifetime of target motor</t>
  </si>
  <si>
    <t>Payback period</t>
  </si>
  <si>
    <t>Net Present Value of emissions reduced over lifetime of target motor class</t>
  </si>
  <si>
    <t>kgCO2e</t>
  </si>
  <si>
    <t>Marginal Abatement Cost (per motor per kW)</t>
  </si>
  <si>
    <t>INR/kgCO2e</t>
  </si>
  <si>
    <t>=(Incremental cost for motor upgrade - NPV (Lifetime energy cost savings))/NPV (Lifetime emissions reduced)</t>
  </si>
  <si>
    <t>Compressor Type</t>
  </si>
  <si>
    <t>Typical Specific Power</t>
  </si>
  <si>
    <t>Equivalent Efficiency Range</t>
  </si>
  <si>
    <t>Default value to be taken (lower value of the equivalent efficiency range)</t>
  </si>
  <si>
    <t>Reciprocating (Piston)</t>
  </si>
  <si>
    <t>5.5 – 7.5 kW/m³/min</t>
  </si>
  <si>
    <t>~65–75%</t>
  </si>
  <si>
    <t>Good for small loads and intermittent use</t>
  </si>
  <si>
    <t>Fixed Speed (Rotary Screw)</t>
  </si>
  <si>
    <t>6.0 – 7.0 kW/m³/min</t>
  </si>
  <si>
    <t>~70–80%</t>
  </si>
  <si>
    <t>Most common in industry</t>
  </si>
  <si>
    <t>Variable Speed Drive (Rotary Screw)</t>
  </si>
  <si>
    <t>5.0 – 6.0 kW/m³/min</t>
  </si>
  <si>
    <t>~80–90%</t>
  </si>
  <si>
    <t>Best for variable demand</t>
  </si>
  <si>
    <t>Centrifugal</t>
  </si>
  <si>
    <t>4.5 – 5.5 kW/m³/min</t>
  </si>
  <si>
    <t>Efficient at large capacity</t>
  </si>
  <si>
    <t>Scroll Compressors</t>
  </si>
  <si>
    <t>5.5 – 6.5 kW/m³/min</t>
  </si>
  <si>
    <t>Used in small systems</t>
  </si>
  <si>
    <t>Oil-free Screw</t>
  </si>
  <si>
    <t>6.5 – 8.0 kW/m³/min</t>
  </si>
  <si>
    <t>Lower efficiency but high purity air</t>
  </si>
  <si>
    <t>Equipment</t>
  </si>
  <si>
    <t>Typical Lifetime</t>
  </si>
  <si>
    <t>Compressor replacement</t>
  </si>
  <si>
    <t>10–15 years</t>
  </si>
  <si>
    <t>VSD retrofit</t>
  </si>
  <si>
    <t>8–12 years</t>
  </si>
  <si>
    <t>Data</t>
  </si>
  <si>
    <t>Description</t>
  </si>
  <si>
    <t>Control system upgrade</t>
  </si>
  <si>
    <t>8–10 years</t>
  </si>
  <si>
    <t>Field</t>
  </si>
  <si>
    <t>Current compressor make and model</t>
  </si>
  <si>
    <t>User input or net scraping</t>
  </si>
  <si>
    <t>Rated capacity</t>
  </si>
  <si>
    <t>Current compressor type</t>
  </si>
  <si>
    <t>Fixed speed (Rotary screw)</t>
  </si>
  <si>
    <t>Age of current compressor</t>
  </si>
  <si>
    <t>Target compressor type</t>
  </si>
  <si>
    <t>Rated capacity - target compressor</t>
  </si>
  <si>
    <t>Lifetime of target compressor</t>
  </si>
  <si>
    <t>Default is 10. Can be user input also.</t>
  </si>
  <si>
    <t>kg CO₂/kWh</t>
  </si>
  <si>
    <t>Energy consumption</t>
  </si>
  <si>
    <t>kWh/year</t>
  </si>
  <si>
    <t>Capex of current compressor type</t>
  </si>
  <si>
    <t>Discount rate</t>
  </si>
  <si>
    <t>%</t>
  </si>
  <si>
    <t>Default value of 8% is used</t>
  </si>
  <si>
    <t>Basline energy consumption</t>
  </si>
  <si>
    <t>If Rated power is given in HP, then the value will be</t>
  </si>
  <si>
    <t>=Rated power in HP * 0.746 * Operating hours * Load factor</t>
  </si>
  <si>
    <t>Target energy consumption</t>
  </si>
  <si>
    <t>Annual emission savings</t>
  </si>
  <si>
    <t>Present value of current compressor</t>
  </si>
  <si>
    <t>Capex of target compressor type</t>
  </si>
  <si>
    <t>Incremental cost for compressor upgrade</t>
  </si>
  <si>
    <t>Net Present Value of energy cost savings over lifetime of target compressor</t>
  </si>
  <si>
    <t>Net Present Value of emissions reduced over lifetime of target compressor</t>
  </si>
  <si>
    <t>Marginal abatement cost per target compressor</t>
  </si>
  <si>
    <t>&lt;0 means compressor upgrade saves money during lifetime</t>
  </si>
  <si>
    <t>Marginal abatement cost formula</t>
  </si>
  <si>
    <t>(Incremental cost for compressor upgrade - NPV(Lifetime energy cost savings))/NPV(Lifetime emissions reduced)</t>
  </si>
  <si>
    <t>1 TR</t>
  </si>
  <si>
    <t>=3.517 kW</t>
  </si>
  <si>
    <t>Typical cost of fixed speed split AC in India</t>
  </si>
  <si>
    <t>air conditioner star rating</t>
  </si>
  <si>
    <t>Typical ISEER range</t>
  </si>
  <si>
    <t>Approximate annual electricity consumption 
(kWh/year)</t>
  </si>
  <si>
    <t>Default ISEER for split AC (invertor &amp; fixed speed)</t>
  </si>
  <si>
    <t>Default ISEER for window AC</t>
  </si>
  <si>
    <t>Default ISEER for Standing tower AC</t>
  </si>
  <si>
    <t>Default ISEER for Casette type AC</t>
  </si>
  <si>
    <t>Default ISEER for Corner/Floor mounted AC</t>
  </si>
  <si>
    <t>25000-40000</t>
  </si>
  <si>
    <t>1 star</t>
  </si>
  <si>
    <t>1500-1600</t>
  </si>
  <si>
    <t>26990-38690</t>
  </si>
  <si>
    <t>2 star</t>
  </si>
  <si>
    <t>3.3-3.5</t>
  </si>
  <si>
    <t>1350-1450</t>
  </si>
  <si>
    <t>28000-40000</t>
  </si>
  <si>
    <t>3 star</t>
  </si>
  <si>
    <t>1150-1250</t>
  </si>
  <si>
    <t>30000-45000</t>
  </si>
  <si>
    <t>4 star</t>
  </si>
  <si>
    <t>1000-1050</t>
  </si>
  <si>
    <t>28000-45000</t>
  </si>
  <si>
    <t>5 star</t>
  </si>
  <si>
    <t>5.0-5.2</t>
  </si>
  <si>
    <t>850-900</t>
  </si>
  <si>
    <t>Input</t>
  </si>
  <si>
    <t>Current AC make and model</t>
  </si>
  <si>
    <t>Cooling capacity of current AC</t>
  </si>
  <si>
    <t>TR</t>
  </si>
  <si>
    <t>User input.</t>
  </si>
  <si>
    <t>Current AC type</t>
  </si>
  <si>
    <t>Split - Fixed speed</t>
  </si>
  <si>
    <t>Age of current AC</t>
  </si>
  <si>
    <t>Current AC star rating</t>
  </si>
  <si>
    <t>1 to 5 star</t>
  </si>
  <si>
    <t>3-star</t>
  </si>
  <si>
    <t>Number of hours of operation of AC</t>
  </si>
  <si>
    <t>hours/year</t>
  </si>
  <si>
    <t>Default is 8 hours for 300 days in a year. User input can also be used.</t>
  </si>
  <si>
    <t>Target AC type</t>
  </si>
  <si>
    <t>Split - Invertor</t>
  </si>
  <si>
    <t>Rated capacity - target AC</t>
  </si>
  <si>
    <t>Target AC star rating</t>
  </si>
  <si>
    <t>4-star</t>
  </si>
  <si>
    <t>Lifetime of target AC</t>
  </si>
  <si>
    <t>Default is 15. Can be user input also.</t>
  </si>
  <si>
    <t>Capex of current air conditioner type</t>
  </si>
  <si>
    <t>Capex of target air conditioner type</t>
  </si>
  <si>
    <t>Current AC cooling output</t>
  </si>
  <si>
    <t>Cooling output = Cooling capacity (in TR) * Operating hours * 3.517</t>
  </si>
  <si>
    <t>If cooling capacity is given in TR, then the formula is as given. If cooling capacity if given in kW, then formula is Cooling output = Cooling capacity (in kW) * operating hours</t>
  </si>
  <si>
    <t>Current AC electricity consumption</t>
  </si>
  <si>
    <t>Electricity consumption = Cooling output/ISEER</t>
  </si>
  <si>
    <t>Target AC electricity consumption</t>
  </si>
  <si>
    <t>Present value of current air conditioner</t>
  </si>
  <si>
    <t>Incremental cost for air conditioner upgrade</t>
  </si>
  <si>
    <t>Net Present Value of energy cost savings over lifetime of target air conditioner</t>
  </si>
  <si>
    <t>Net Present Value of emissions reduced over lifetime of target air conditioner</t>
  </si>
  <si>
    <t>Marginal abatement cost per target air conditioner</t>
  </si>
  <si>
    <t>(Incremental cost for air conditioner upgrade - NPV(Lifetime energy cost savings))/NPV(Lifetime emissions reduced)</t>
  </si>
  <si>
    <t>Emissions savings by switching  from conventional induction motor fans to BLDC (Brushless Direct Current) fans</t>
  </si>
  <si>
    <t>Conventional induction motor fan model</t>
  </si>
  <si>
    <t>Power rating of a conventional induction motor fan (W)</t>
  </si>
  <si>
    <t>Energy consumption per hour (kWh)</t>
  </si>
  <si>
    <t>Daily runtime (hours)</t>
  </si>
  <si>
    <t>Number of working days in a year</t>
  </si>
  <si>
    <t>Annual runtime (hours)</t>
  </si>
  <si>
    <t>Annual energy consumption per fan (kWh)</t>
  </si>
  <si>
    <t>Electricity tariff (INR/kWh)</t>
  </si>
  <si>
    <t xml:space="preserve">Annual energy expenditure per fan (INR) </t>
  </si>
  <si>
    <t>Grid EF (kgCO2e/kWh)</t>
  </si>
  <si>
    <t>Default</t>
  </si>
  <si>
    <t xml:space="preserve"> Emissions (kgCO2e) per fan</t>
  </si>
  <si>
    <t>BLDC fan model</t>
  </si>
  <si>
    <t>Power rating of a BLDC fan (W)</t>
  </si>
  <si>
    <r>
      <rPr/>
      <t xml:space="preserve">Source: </t>
    </r>
    <r>
      <rPr>
        <color rgb="FF1155CC"/>
        <u/>
      </rPr>
      <t>https://www.crompton.co.in/blogs/fans-guide/bldc-fans-vs-normal-fans</t>
    </r>
  </si>
  <si>
    <t>Emissions (kgCO2e) per fan</t>
  </si>
  <si>
    <t>Annual energy expenditure per fan (INR)</t>
  </si>
  <si>
    <t>Calculating annual cost and emissions reduced</t>
  </si>
  <si>
    <t>Annual energy cost savings per fan (INR)</t>
  </si>
  <si>
    <t>% of energy costs saved per fan</t>
  </si>
  <si>
    <t>Annual emissions reduced per fan (kgCO2e)</t>
  </si>
  <si>
    <t>Emissions saved per fan (%)</t>
  </si>
  <si>
    <t>Number of conventional fans to be switched to BLDC fans</t>
  </si>
  <si>
    <t>Total cost savings per annum (INR)</t>
  </si>
  <si>
    <t>Total emissions saved per annum (kgCO2e)</t>
  </si>
  <si>
    <t>Calculating payback period</t>
  </si>
  <si>
    <t>Capex for BLDC fan (INR per fan)</t>
  </si>
  <si>
    <t>Total capex required for switching to BLDC fans (INR)</t>
  </si>
  <si>
    <t>Payback period (years)</t>
  </si>
  <si>
    <t>Calculating Marginal Abatement Cost (MAC)</t>
  </si>
  <si>
    <t>Capital cost for installing BLDC fan (INR per fan)</t>
  </si>
  <si>
    <t>Default/user input</t>
  </si>
  <si>
    <t>Capital cost for installing conventional induction motor fan (INR per fan)</t>
  </si>
  <si>
    <t>Current years of operation of conventional fan</t>
  </si>
  <si>
    <t>user input</t>
  </si>
  <si>
    <t>Discount factor</t>
  </si>
  <si>
    <t>PV of conventional fan (INR per fan)</t>
  </si>
  <si>
    <t>Incremental cost (INR per fan)</t>
  </si>
  <si>
    <t>Capex of BLDC - PV of conventional fan</t>
  </si>
  <si>
    <t>Typical lifetime of BLDC fan (years)</t>
  </si>
  <si>
    <t>NPV of energy cost savings during the lifetime per fan (INR)</t>
  </si>
  <si>
    <t>NPV of emissions saved during the lifetime (kgCO2e) per fan</t>
  </si>
  <si>
    <t>MAC (INR/kgCOe2)</t>
  </si>
  <si>
    <t>Emissions savings by switching  from incandescent bulbs to LEDs</t>
  </si>
  <si>
    <t>Conventional incandescent bulb model</t>
  </si>
  <si>
    <t>Power rating of a conventional incandescent bulb (W)</t>
  </si>
  <si>
    <t>Annual energy consumption per bulb (kWh)</t>
  </si>
  <si>
    <t xml:space="preserve">Annual energy expenditure per bulb (INR) </t>
  </si>
  <si>
    <t>Emissions (kgCO2e) per bulb</t>
  </si>
  <si>
    <t>LED model</t>
  </si>
  <si>
    <t>Power rating of an LED (W)</t>
  </si>
  <si>
    <t xml:space="preserve">Source: </t>
  </si>
  <si>
    <t>Annual energy consumption per LED (kWh)</t>
  </si>
  <si>
    <t>Emissions (kgCO2e) per LED</t>
  </si>
  <si>
    <t>Annual energy expenditure per LED (INR)</t>
  </si>
  <si>
    <t>Annual energy cost savings per LED (INR)</t>
  </si>
  <si>
    <t>% of energy costs saved per LED</t>
  </si>
  <si>
    <t>Annual emissions reduced per LED (kgCO2e)</t>
  </si>
  <si>
    <t>Emissions saved per LED (%)</t>
  </si>
  <si>
    <t>Number of conventional incandescent bulbs to be switched with LEDs</t>
  </si>
  <si>
    <t>Capital cost for installing LED (INR per LED)</t>
  </si>
  <si>
    <t>Total capex required for switching to LEDs (INR)</t>
  </si>
  <si>
    <t>Capital cost for installing conventional incandescent bulb (INR per bulb)</t>
  </si>
  <si>
    <t>Current years of operation of incandescent bulb</t>
  </si>
  <si>
    <t>NPV (conventional fan)</t>
  </si>
  <si>
    <t>Incremental cost (INR per bulb)</t>
  </si>
  <si>
    <t>Capex of BLDC - NPV of conventional fan</t>
  </si>
  <si>
    <t>Typical lifetime of LED (years)</t>
  </si>
  <si>
    <t>NPV of energy cost savings during the lifetime (INR) per LED</t>
  </si>
  <si>
    <t>NPV of emissions saved during the lifetime (kgCO2e) per LED</t>
  </si>
  <si>
    <t>DG model</t>
  </si>
  <si>
    <t>Load</t>
  </si>
  <si>
    <t>Typical SFC</t>
  </si>
  <si>
    <t>Most</t>
  </si>
  <si>
    <t>Average (Default to be taken by the calculation engine)</t>
  </si>
  <si>
    <t>DG manufacturer</t>
  </si>
  <si>
    <t>25% load</t>
  </si>
  <si>
    <t>0.32 – 0.38 L/kWh</t>
  </si>
  <si>
    <t>Rated capacity of the DG set</t>
  </si>
  <si>
    <t>kVA</t>
  </si>
  <si>
    <t>50% load</t>
  </si>
  <si>
    <t>0.27 – 0.30 L/kWh</t>
  </si>
  <si>
    <t>Do you have annual diesel consumption data for DG set?</t>
  </si>
  <si>
    <t>Yes/No</t>
  </si>
  <si>
    <t>75% load</t>
  </si>
  <si>
    <t>0.24 – 0.27 L/kWh (most efficient)</t>
  </si>
  <si>
    <t>If Yes -&gt;</t>
  </si>
  <si>
    <t>Annual diesel consumption</t>
  </si>
  <si>
    <t>L</t>
  </si>
  <si>
    <t>100% load</t>
  </si>
  <si>
    <t>0.25 – 0.28 L/kWh</t>
  </si>
  <si>
    <t>If No -&gt;</t>
  </si>
  <si>
    <t>Average load on DG</t>
  </si>
  <si>
    <t>Power factor</t>
  </si>
  <si>
    <t>Default is 0.95</t>
  </si>
  <si>
    <t>Fuel</t>
  </si>
  <si>
    <t>Substitution</t>
  </si>
  <si>
    <t>calculated</t>
  </si>
  <si>
    <t>CNG/PNG</t>
  </si>
  <si>
    <t>70–80%</t>
  </si>
  <si>
    <t>Operating hours per year</t>
  </si>
  <si>
    <t>hours</t>
  </si>
  <si>
    <t>60–70%</t>
  </si>
  <si>
    <t>Annual electricity generated</t>
  </si>
  <si>
    <t>This can be calculated from rated capacity of DG, average load factor and power factor or a user input</t>
  </si>
  <si>
    <t>Biogas</t>
  </si>
  <si>
    <t>50–65%</t>
  </si>
  <si>
    <t xml:space="preserve"> </t>
  </si>
  <si>
    <t>L/kWh</t>
  </si>
  <si>
    <t xml:space="preserve">Annual diesel consumption </t>
  </si>
  <si>
    <t>Calculation (before retrofit)</t>
  </si>
  <si>
    <t>Annual diesel consumption (before retrofit)</t>
  </si>
  <si>
    <t>Net CV of diesel</t>
  </si>
  <si>
    <t>kWh/L</t>
  </si>
  <si>
    <t>Default NCV of diesel taken from DEFRA 2025</t>
  </si>
  <si>
    <t>Annual energy consumption (before retrofit)</t>
  </si>
  <si>
    <t>Annual emissions (before retrofit)</t>
  </si>
  <si>
    <t>EF of diesel</t>
  </si>
  <si>
    <t>kgCO2e/L</t>
  </si>
  <si>
    <t>default emissions factor for diesel taken from DEFRA 2025</t>
  </si>
  <si>
    <t>Total cost incurred due to diesel consumption in DG set (before retrofit)</t>
  </si>
  <si>
    <t>Diesel Rate</t>
  </si>
  <si>
    <t>INR/L</t>
  </si>
  <si>
    <t>user input/default</t>
  </si>
  <si>
    <t>Calculation (after retrofit)</t>
  </si>
  <si>
    <t>NCV</t>
  </si>
  <si>
    <t>UoM</t>
  </si>
  <si>
    <t>Source</t>
  </si>
  <si>
    <t>Type of fuel replacement using duel fuel kit</t>
  </si>
  <si>
    <t>CNG</t>
  </si>
  <si>
    <t>DEFRA 2025</t>
  </si>
  <si>
    <t>Percentage of diesel replaced after retrofit</t>
  </si>
  <si>
    <t>Annual diesel consumption (after retrofit)</t>
  </si>
  <si>
    <t>Total energy consumption from diesel (after retrofit)</t>
  </si>
  <si>
    <t>Total energy consumption from other fuel (after retrofit)</t>
  </si>
  <si>
    <t>Net CV of other fuel</t>
  </si>
  <si>
    <t>Linked to table</t>
  </si>
  <si>
    <t>Annual consumption of other fuel (after retrofit)</t>
  </si>
  <si>
    <t>Annual emissions due to consumption of diesel in DG set (after retrofit)</t>
  </si>
  <si>
    <t>EF</t>
  </si>
  <si>
    <t>Annual emissions due to consumption of other fuel in DG set (after retrofit)</t>
  </si>
  <si>
    <t>Total emissions (after retrofit)</t>
  </si>
  <si>
    <t>Total cost incurred due to diesel consumption in DG set (after retrofit)</t>
  </si>
  <si>
    <t>Total cost incurred due to other fuel consumption in DG set (after retrofit)</t>
  </si>
  <si>
    <t>Total cost incurred due to fuel consumption in DG set (after retrofit)</t>
  </si>
  <si>
    <t>Annual emissions saved/reduced</t>
  </si>
  <si>
    <t>Rate</t>
  </si>
  <si>
    <t>Annual emissions saved/reduced %</t>
  </si>
  <si>
    <r>
      <rPr>
        <color rgb="FF1155CC"/>
        <u/>
      </rPr>
      <t>Fuel Prices Today [12 March, 2026]: Petrol &amp; Diesel Steady Despite Crude Spike to $98; LPG Up ₹60, CNG Edges Higher | Check City-Wise Rates</t>
    </r>
  </si>
  <si>
    <t>Calculation of cost savings</t>
  </si>
  <si>
    <t>Annual cost savings</t>
  </si>
  <si>
    <t>Annual cost savings in %</t>
  </si>
  <si>
    <t>Calculation of payback period</t>
  </si>
  <si>
    <t>Capex of installing dual fuel kit (cost of kit+installation)</t>
  </si>
  <si>
    <t>user unput</t>
  </si>
  <si>
    <t>Annual maintenance cost due to the installation of dual fuel kit</t>
  </si>
  <si>
    <t>Calculation of MAC</t>
  </si>
  <si>
    <t>Typical lifetime of dual fuel kit</t>
  </si>
  <si>
    <t>NPV of maintenance cost over lifetime of retrofitted asset</t>
  </si>
  <si>
    <t>NPV of cost savings during the lifetime per kit</t>
  </si>
  <si>
    <t>NPV of emissions saved during the lifetime per kit</t>
  </si>
  <si>
    <t>MAC</t>
  </si>
  <si>
    <t>INR/kgCOe2</t>
  </si>
  <si>
    <t>Name of the supplier</t>
  </si>
  <si>
    <t>Scope 1 emissions (tCO2e)</t>
  </si>
  <si>
    <t>Scope 2 emissions (tCO2e)</t>
  </si>
  <si>
    <t>Scope 3 emissions (tCO2e)</t>
  </si>
  <si>
    <t>Scope 1 +Scope 2 emissions (tCO2e)</t>
  </si>
  <si>
    <t>Contribution of Scope 2 in Scope 1+Scope 2</t>
  </si>
  <si>
    <t>Emissions intensity (kgCO2e/ INR 100000)</t>
  </si>
  <si>
    <t>PADMAVATI CASTINGS PRIVATE LIMITED</t>
  </si>
  <si>
    <t>FERRO LINKS</t>
  </si>
  <si>
    <t>DIGHVIJAY PLASTICS AND ALLIED</t>
  </si>
  <si>
    <t>SUYESH IRON &amp; STEEL PRIVATE LIMITED</t>
  </si>
  <si>
    <t>RSM AUTOKAST PRIVATE LIMITED</t>
  </si>
  <si>
    <t>% ShareOF SCOPE 2</t>
  </si>
  <si>
    <t>Complexity of implementing initiative</t>
  </si>
  <si>
    <t>Rationale</t>
  </si>
  <si>
    <t>Low complexity</t>
  </si>
  <si>
    <t>-Low capex
-No major infrastructure modifications
-Uses existng assets
-Minimal production disruption
-Proven and matured technology</t>
  </si>
  <si>
    <t>Medium complexity</t>
  </si>
  <si>
    <t>-Moderate capex
-Partial equipment replacement
-Minor infrastructure modification
-Requires technical integration
-May require vendor dependency</t>
  </si>
  <si>
    <t>High complexity</t>
  </si>
  <si>
    <t>-High capex
-Major infrastructure transformation
-Technology risk or dependency
-Production redesign or new facility
-Heavy regulatory/grid dependency</t>
  </si>
  <si>
    <t>Decarbonization lever</t>
  </si>
  <si>
    <t>Example Initiative</t>
  </si>
  <si>
    <t>Potential Benefit</t>
  </si>
  <si>
    <t>Complexity of implementation based on cost and infrasturctural constraints</t>
  </si>
  <si>
    <t>Timeline of implementation
&lt;1 year- short term
1-3 years- mid term
&gt;3 years- long term</t>
  </si>
  <si>
    <t xml:space="preserve">PADMAVATI CASTINGS PRIVATE LIMITED
FERROLINKS
SUYESH IRON &amp; STEEL PRIVATE LIMITED
RSM AUTOKAST PRIVATE LIMITED
</t>
  </si>
  <si>
    <t>Energy Audit/Assessment</t>
  </si>
  <si>
    <t>Consider conducting energy audits every year at each manufacturing facility led either by company's internal operating divisions or third party agents</t>
  </si>
  <si>
    <t>Energy audits are undertaken to identify opportunities for improved energy efficiency and cost savings across the facility</t>
  </si>
  <si>
    <t>Low</t>
  </si>
  <si>
    <t>Short term</t>
  </si>
  <si>
    <t>Energy Efficiency</t>
  </si>
  <si>
    <t>Consider implementing energy conservation initiatives like "Turn Off Turn Down (TOTD)" program to encourage employees to reduce unnecessary energy consumption by making equipment to be switched to standby, low-energy mode, or fully powered down when not in use</t>
  </si>
  <si>
    <t>These initiatives help to avoid unnecessary energy consumption across the facility and build energy awareness among the employees</t>
  </si>
  <si>
    <t xml:space="preserve">Low </t>
  </si>
  <si>
    <t>Consider phasing out inefficient lighting systems and deploying advanced and efficient LED lights</t>
  </si>
  <si>
    <t>Reduction in energy consumption and cost savings</t>
  </si>
  <si>
    <t>Consider installation of automatic lights/lights with occupancy sensors to optimize the power consumption</t>
  </si>
  <si>
    <t>Consider phasing out inefficient motors (IE1/IE2) and upgrading pumps, blowers, compressors and other equipment with higher efficiency motors (IE3 / IE4)</t>
  </si>
  <si>
    <t xml:space="preserve">Consider installing Variable Frequency Drives (VFDs) on hydraulic motors, compressors, blowers, pumps and other equipment </t>
  </si>
  <si>
    <t>Medium</t>
  </si>
  <si>
    <t>Consider installing auto-cut timers/controllers in lighting, heating and cooling appliances in buildings</t>
  </si>
  <si>
    <t>Consider conversion of motor connections of grinding machines from delta to star configuration.</t>
  </si>
  <si>
    <t>Consider implementing custom-built heater insulation jackets for furnaces</t>
  </si>
  <si>
    <t>Consider implementation of BLDC fans instead of conventional fans</t>
  </si>
  <si>
    <t>Renewable electricity</t>
  </si>
  <si>
    <t>Consider shifting towards renewable electricity sources through the installation of rooftop solar panel or open access PPA</t>
  </si>
  <si>
    <t>Reduction in emissions and utility cost</t>
  </si>
  <si>
    <t>High</t>
  </si>
  <si>
    <t>Mid-term</t>
  </si>
  <si>
    <t>Compressed air system optimization</t>
  </si>
  <si>
    <t>Minimize air leakages to reduce the load on air compressors through conducting regular compressor audits</t>
  </si>
  <si>
    <t>Short Term</t>
  </si>
  <si>
    <t>Consider installation of Intelligent Flow Controllers to improve compressed air efficiency</t>
  </si>
  <si>
    <t>Consider deploying energy-efficient compressors and Automatic Power Factor Correction (APFC) panels to improve electrical efficiency and power factor</t>
  </si>
  <si>
    <t>Consider deploying pulse nozzles for cleaning of machine parts</t>
  </si>
  <si>
    <t>Consider Installation of VFDs</t>
  </si>
  <si>
    <t>Daylighting</t>
  </si>
  <si>
    <t>Consider replacement of GI Roof Sheets with Transparent Polycarbonate Sheets for maximum daylight utilization, effective for reducing energy consumption in warehouses</t>
  </si>
  <si>
    <t>Waste Heat Recovery</t>
  </si>
  <si>
    <t>Consider deploying waste heat recovery system in furnace to improve energy utilization</t>
  </si>
  <si>
    <t>Medium to High</t>
  </si>
  <si>
    <t xml:space="preserve">Field </t>
  </si>
  <si>
    <t xml:space="preserve">Units </t>
  </si>
  <si>
    <t>Inputs</t>
  </si>
  <si>
    <t>notes</t>
  </si>
  <si>
    <t>Annual distance travelled</t>
  </si>
  <si>
    <t>km/year</t>
  </si>
  <si>
    <t>Diesel truck fuel efficiency</t>
  </si>
  <si>
    <t>km/l</t>
  </si>
  <si>
    <t>Diesel price</t>
  </si>
  <si>
    <t>INR/l</t>
  </si>
  <si>
    <t>Diesel emission factor</t>
  </si>
  <si>
    <t>kgCO2e/l</t>
  </si>
  <si>
    <t>From DEFRA 2025</t>
  </si>
  <si>
    <t>Electric truck efficiency</t>
  </si>
  <si>
    <t>km/kWh</t>
  </si>
  <si>
    <t>Electricity tariff</t>
  </si>
  <si>
    <t>Commercial/industrial rate</t>
  </si>
  <si>
    <t>kgCO2e/kWh</t>
  </si>
  <si>
    <t>India average</t>
  </si>
  <si>
    <t>Existing diesel truck</t>
  </si>
  <si>
    <t>Age of current diesel truck</t>
  </si>
  <si>
    <t>How long it has been in use</t>
  </si>
  <si>
    <t>Original purchase price of diesel truck</t>
  </si>
  <si>
    <t>New electric truck</t>
  </si>
  <si>
    <t>Purchase price of electric truck</t>
  </si>
  <si>
    <t xml:space="preserve">User input </t>
  </si>
  <si>
    <t>Subsidy / incentive for electric truck</t>
  </si>
  <si>
    <t>Financial parameters</t>
  </si>
  <si>
    <t>Lifetime of electric truck</t>
  </si>
  <si>
    <t>Diesel consumption</t>
  </si>
  <si>
    <t>L/Km</t>
  </si>
  <si>
    <t>Electric consumption</t>
  </si>
  <si>
    <t>kWh/Km</t>
  </si>
  <si>
    <t>Annual diesel used</t>
  </si>
  <si>
    <t>Litres</t>
  </si>
  <si>
    <t>Annual Electricity used</t>
  </si>
  <si>
    <t>Annual diesel cost</t>
  </si>
  <si>
    <t xml:space="preserve">INR </t>
  </si>
  <si>
    <t>Annual Electricity cost</t>
  </si>
  <si>
    <t>Annual diesel emission</t>
  </si>
  <si>
    <t>KgCO2e</t>
  </si>
  <si>
    <t>Annual Electricity emission</t>
  </si>
  <si>
    <t>Annual emissions savings</t>
  </si>
  <si>
    <t>Present value of existing diesel truck</t>
  </si>
  <si>
    <t>Today’s value of old truck: original price (C11) discounted by age (C10) at discount rate</t>
  </si>
  <si>
    <t>Net cost of new electric truck</t>
  </si>
  <si>
    <t>Incremental capex</t>
  </si>
  <si>
    <t>Extra money needed today.</t>
  </si>
  <si>
    <t>Annuity Factor</t>
  </si>
  <si>
    <t>convert annual savings to total present value over lifetime</t>
  </si>
  <si>
    <t>Net present value of energy cost savings</t>
  </si>
  <si>
    <t>Net present value of emissions reductions</t>
  </si>
  <si>
    <t>Years</t>
  </si>
  <si>
    <t>Marginal abatement cost</t>
  </si>
  <si>
    <t>Annual profit from switching 9,402 × 64 = 601,728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</si>
</sst>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#,##0.0"/>
    <numFmt numFmtId="166" formatCode="0.0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/>
    <font>
      <u/>
      <color rgb="FF0000FF"/>
    </font>
    <font>
      <b/>
      <sz val="11.0"/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sz val="11.0"/>
      <color rgb="FF0F1115"/>
      <name val="Arial"/>
      <scheme val="minor"/>
    </font>
    <font>
      <b/>
      <sz val="11.0"/>
      <color rgb="FF0F1115"/>
      <name val="Arial"/>
      <scheme val="minor"/>
    </font>
    <font>
      <sz val="11.0"/>
      <color rgb="FF0F1115"/>
      <name val="Arial"/>
    </font>
    <font>
      <color rgb="FF0F1115"/>
      <name val="Menlo"/>
    </font>
    <font>
      <sz val="11.0"/>
      <color rgb="FF0F1115"/>
      <name val="Quote-cjk-patch"/>
    </font>
    <font>
      <sz val="12.0"/>
      <color rgb="FF0F1115"/>
      <name val="Quote-cjk-patch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1" numFmtId="0" xfId="0" applyFont="1"/>
    <xf borderId="0" fillId="5" fontId="4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6" fontId="1" numFmtId="10" xfId="0" applyBorder="1" applyFill="1" applyFont="1" applyNumberFormat="1"/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5" fontId="4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 vertical="center"/>
    </xf>
    <xf borderId="3" fillId="0" fontId="6" numFmtId="0" xfId="0" applyBorder="1" applyFont="1"/>
    <xf borderId="4" fillId="0" fontId="6" numFmtId="0" xfId="0" applyBorder="1" applyFont="1"/>
    <xf borderId="2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/>
    </xf>
    <xf borderId="6" fillId="0" fontId="6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1" numFmtId="9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readingOrder="0" shrinkToFit="0" wrapText="1"/>
    </xf>
    <xf borderId="1" fillId="0" fontId="1" numFmtId="3" xfId="0" applyAlignment="1" applyBorder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2" xfId="0" applyBorder="1" applyFont="1" applyNumberForma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9" xfId="0" applyAlignment="1" applyFont="1" applyNumberForma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2" xfId="0" applyAlignment="1" applyBorder="1" applyFont="1" applyNumberFormat="1">
      <alignment vertical="center"/>
    </xf>
    <xf borderId="0" fillId="0" fontId="1" numFmtId="2" xfId="0" applyFont="1" applyNumberFormat="1"/>
    <xf quotePrefix="1"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4" numFmtId="0" xfId="0" applyAlignment="1" applyFont="1">
      <alignment horizontal="center" readingOrder="0"/>
    </xf>
    <xf borderId="1" fillId="7" fontId="2" numFmtId="0" xfId="0" applyBorder="1" applyFill="1" applyFont="1"/>
    <xf borderId="0" fillId="8" fontId="1" numFmtId="0" xfId="0" applyAlignment="1" applyFill="1" applyFont="1">
      <alignment readingOrder="0"/>
    </xf>
    <xf borderId="0" fillId="8" fontId="1" numFmtId="0" xfId="0" applyFont="1"/>
    <xf borderId="1" fillId="9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1" fillId="9" fontId="2" numFmtId="0" xfId="0" applyBorder="1" applyFont="1"/>
    <xf borderId="0" fillId="8" fontId="2" numFmtId="0" xfId="0" applyFont="1"/>
    <xf borderId="1" fillId="7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10" fontId="8" numFmtId="0" xfId="0" applyAlignment="1" applyFill="1" applyFont="1">
      <alignment readingOrder="0"/>
    </xf>
    <xf borderId="1" fillId="7" fontId="2" numFmtId="10" xfId="0" applyBorder="1" applyFont="1" applyNumberFormat="1"/>
    <xf borderId="1" fillId="7" fontId="2" numFmtId="2" xfId="0" applyBorder="1" applyFont="1" applyNumberFormat="1"/>
    <xf borderId="1" fillId="7" fontId="2" numFmtId="166" xfId="0" applyAlignment="1" applyBorder="1" applyFont="1" applyNumberFormat="1">
      <alignment readingOrder="0"/>
    </xf>
    <xf borderId="1" fillId="7" fontId="2" numFmtId="1" xfId="0" applyAlignment="1" applyBorder="1" applyFont="1" applyNumberFormat="1">
      <alignment readingOrder="0"/>
    </xf>
    <xf borderId="1" fillId="7" fontId="2" numFmtId="1" xfId="0" applyBorder="1" applyFont="1" applyNumberFormat="1"/>
    <xf borderId="1" fillId="11" fontId="1" numFmtId="0" xfId="0" applyAlignment="1" applyBorder="1" applyFill="1" applyFont="1">
      <alignment readingOrder="0"/>
    </xf>
    <xf borderId="1" fillId="7" fontId="2" numFmtId="166" xfId="0" applyBorder="1" applyFont="1" applyNumberFormat="1"/>
    <xf borderId="1" fillId="7" fontId="2" numFmtId="4" xfId="0" applyBorder="1" applyFont="1" applyNumberFormat="1"/>
    <xf borderId="0" fillId="0" fontId="1" numFmtId="9" xfId="0" applyAlignment="1" applyFont="1" applyNumberFormat="1">
      <alignment readingOrder="0"/>
    </xf>
    <xf borderId="1" fillId="7" fontId="1" numFmtId="0" xfId="0" applyBorder="1" applyFont="1"/>
    <xf borderId="1" fillId="7" fontId="1" numFmtId="166" xfId="0" applyBorder="1" applyFont="1" applyNumberFormat="1"/>
    <xf borderId="1" fillId="9" fontId="1" numFmtId="166" xfId="0" applyBorder="1" applyFont="1" applyNumberFormat="1"/>
    <xf borderId="7" fillId="0" fontId="9" numFmtId="0" xfId="0" applyAlignment="1" applyBorder="1" applyFont="1">
      <alignment readingOrder="0" shrinkToFit="0" wrapText="1"/>
    </xf>
    <xf borderId="7" fillId="0" fontId="6" numFmtId="0" xfId="0" applyBorder="1" applyFont="1"/>
    <xf borderId="8" fillId="0" fontId="6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6" fontId="1" numFmtId="10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0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8" fontId="1" numFmtId="0" xfId="0" applyAlignment="1" applyFont="1">
      <alignment readingOrder="0" shrinkToFit="0" vertical="center" wrapText="1"/>
    </xf>
    <xf borderId="0" fillId="8" fontId="2" numFmtId="10" xfId="0" applyAlignment="1" applyFont="1" applyNumberFormat="1">
      <alignment readingOrder="0" shrinkToFit="0" vertical="center" wrapText="1"/>
    </xf>
    <xf borderId="1" fillId="6" fontId="11" numFmtId="0" xfId="0" applyAlignment="1" applyBorder="1" applyFont="1">
      <alignment vertical="center"/>
    </xf>
    <xf borderId="1" fillId="6" fontId="11" numFmtId="0" xfId="0" applyAlignment="1" applyBorder="1" applyFont="1">
      <alignment vertical="bottom"/>
    </xf>
    <xf borderId="0" fillId="12" fontId="1" numFmtId="0" xfId="0" applyAlignment="1" applyFill="1" applyFont="1">
      <alignment readingOrder="0" shrinkToFit="0" vertical="center" wrapText="1"/>
    </xf>
    <xf borderId="0" fillId="12" fontId="2" numFmtId="10" xfId="0" applyAlignment="1" applyFont="1" applyNumberFormat="1">
      <alignment readingOrder="0" shrinkToFit="0" vertical="center" wrapText="1"/>
    </xf>
    <xf borderId="1" fillId="13" fontId="11" numFmtId="0" xfId="0" applyAlignment="1" applyBorder="1" applyFill="1" applyFont="1">
      <alignment vertical="center"/>
    </xf>
    <xf borderId="1" fillId="13" fontId="11" numFmtId="0" xfId="0" applyAlignment="1" applyBorder="1" applyFont="1">
      <alignment vertical="bottom"/>
    </xf>
    <xf borderId="0" fillId="8" fontId="1" numFmtId="10" xfId="0" applyAlignment="1" applyFont="1" applyNumberFormat="1">
      <alignment readingOrder="0" shrinkToFit="0" vertical="center" wrapText="1"/>
    </xf>
    <xf borderId="1" fillId="14" fontId="11" numFmtId="0" xfId="0" applyAlignment="1" applyBorder="1" applyFill="1" applyFont="1">
      <alignment vertical="center"/>
    </xf>
    <xf borderId="1" fillId="14" fontId="11" numFmtId="0" xfId="0" applyAlignment="1" applyBorder="1" applyFont="1">
      <alignment vertical="bottom"/>
    </xf>
    <xf borderId="0" fillId="0" fontId="2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0"/>
    </xf>
    <xf borderId="1" fillId="15" fontId="12" numFmtId="0" xfId="0" applyAlignment="1" applyBorder="1" applyFill="1" applyFont="1">
      <alignment readingOrder="0" shrinkToFit="0" vertical="center" wrapText="1"/>
    </xf>
    <xf borderId="1" fillId="15" fontId="12" numFmtId="0" xfId="0" applyAlignment="1" applyBorder="1" applyFont="1">
      <alignment readingOrder="0" shrinkToFit="0" vertical="center" wrapText="1"/>
    </xf>
    <xf borderId="1" fillId="15" fontId="13" numFmtId="0" xfId="0" applyAlignment="1" applyBorder="1" applyFont="1">
      <alignment readingOrder="0" shrinkToFit="0" vertical="center" wrapText="1"/>
    </xf>
    <xf borderId="1" fillId="15" fontId="12" numFmtId="0" xfId="0" applyAlignment="1" applyBorder="1" applyFont="1">
      <alignment shrinkToFit="0" vertical="center" wrapText="1"/>
    </xf>
    <xf borderId="1" fillId="15" fontId="12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1"/>
    </xf>
    <xf borderId="1" fillId="0" fontId="15" numFmtId="0" xfId="0" applyBorder="1" applyFont="1"/>
    <xf borderId="1" fillId="15" fontId="12" numFmtId="0" xfId="0" applyAlignment="1" applyBorder="1" applyFont="1">
      <alignment readingOrder="0" shrinkToFit="0" wrapText="1"/>
    </xf>
    <xf borderId="1" fillId="15" fontId="16" numFmtId="0" xfId="0" applyAlignment="1" applyBorder="1" applyFont="1">
      <alignment readingOrder="0" shrinkToFit="0" wrapText="1"/>
    </xf>
    <xf borderId="1" fillId="15" fontId="16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15" fontId="14" numFmtId="0" xfId="0" applyAlignment="1" applyBorder="1" applyFont="1">
      <alignment readingOrder="0"/>
    </xf>
    <xf borderId="0" fillId="15" fontId="17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4" pivot="0" name="AL Supplier Analysis-Pil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 supplier decarbonization rec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L supplier decarbonization rec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L supplier decarbonization rec-style 3">
      <tableStyleElement dxfId="6" type="headerRow"/>
      <tableStyleElement dxfId="2" type="firstRowStripe"/>
      <tableStyleElement dxfId="7" type="secondRowStripe"/>
    </tableStyle>
    <tableStyle count="4" pivot="0" name="AL supplier decarbonization rec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L supplier decarbonization rec-style 5">
      <tableStyleElement dxfId="3" type="firstRowStripe"/>
      <tableStyleElement dxfId="2" type="secondRowStripe"/>
    </tableStyle>
    <tableStyle count="2" pivot="0" name="AL supplier decarbonization rec-style 6">
      <tableStyleElement dxfId="3" type="firstRowStripe"/>
      <tableStyleElement dxfId="2" type="secondRowStripe"/>
    </tableStyle>
    <tableStyle count="4" pivot="0" name="Electric Tru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eenakshi Chaudhary" id="{7aab473b-47f2-4dbf-9b82-e965c1fc99d5}" providerId="google-sheets"/>
</x18tc:personList>
</file>

<file path=xl/tables/table1.xml><?xml version="1.0" encoding="utf-8"?>
<table xmlns="http://schemas.openxmlformats.org/spreadsheetml/2006/main" ref="B3:H8" displayName="Table3" name="Table3" id="1">
  <tableColumns count="7">
    <tableColumn name="Name of the supplier" id="1"/>
    <tableColumn name="Scope 1 emissions (tCO2e)" id="2"/>
    <tableColumn name="Scope 2 emissions (tCO2e)" id="3"/>
    <tableColumn name="Scope 3 emissions (tCO2e)" id="4"/>
    <tableColumn name="Scope 1 +Scope 2 emissions (tCO2e)" id="5"/>
    <tableColumn name="Contribution of Scope 2 in Scope 1+Scope 2" id="6"/>
    <tableColumn name="Emissions intensity (kgCO2e/ INR 100000)" id="7"/>
  </tableColumns>
  <tableStyleInfo name="AL Supplier Analysis-Pilot-style" showColumnStripes="0" showFirstColumn="1" showLastColumn="1" showRowStripes="1"/>
</table>
</file>

<file path=xl/tables/table2.xml><?xml version="1.0" encoding="utf-8"?>
<table xmlns="http://schemas.openxmlformats.org/spreadsheetml/2006/main" ref="B4:G9" displayName="AL_supplier" name="AL_supplier" id="2">
  <tableColumns count="6">
    <tableColumn name="Name of the supplier" id="1"/>
    <tableColumn name="Scope 1 emissions (tCO2e)" id="2"/>
    <tableColumn name="Scope 2 emissions (tCO2e)" id="3"/>
    <tableColumn name="Scope 3 emissions (tCO2e)" id="4"/>
    <tableColumn name="Scope 1 +Scope 2 emissions (tCO2e)" id="5"/>
    <tableColumn name="% ShareOF SCOPE 2" id="6"/>
  </tableColumns>
  <tableStyleInfo name="AL supplier decarbonization rec-style" showColumnStripes="0" showFirstColumn="1" showLastColumn="1" showRowStripes="1"/>
</table>
</file>

<file path=xl/tables/table3.xml><?xml version="1.0" encoding="utf-8"?>
<table xmlns="http://schemas.openxmlformats.org/spreadsheetml/2006/main" headerRowCount="0" ref="I4:J4" displayName="Table2" name="Table2" id="3">
  <tableColumns count="2">
    <tableColumn name="Column1" id="1"/>
    <tableColumn name="Column2" id="2"/>
  </tableColumns>
  <tableStyleInfo name="AL supplier decarbonization re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I5:J7" displayName="Table_1" name="Table_1" id="4">
  <tableColumns count="2">
    <tableColumn name="Low complexity" id="1"/>
    <tableColumn name="-Low capex_x000a_-No major infrastructure modifications_x000a_-Uses existng assets_x000a_-Minimal production disruption_x000a_-Proven and matured technology" id="2"/>
  </tableColumns>
  <tableStyleInfo name="AL supplier decarbonization rec-style 3" showColumnStripes="0" showFirstColumn="1" showLastColumn="1" showRowStripes="1"/>
</table>
</file>

<file path=xl/tables/table5.xml><?xml version="1.0" encoding="utf-8"?>
<table xmlns="http://schemas.openxmlformats.org/spreadsheetml/2006/main" headerRowCount="0" ref="B13:G13" displayName="Table1" name="Table1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L supplier decarbonization rec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E24:G27" displayName="Table_2" name="Table_2" id="6">
  <tableColumns count="3">
    <tableColumn name="Column1" id="1"/>
    <tableColumn name="Column2" id="2"/>
    <tableColumn name="Column3" id="3"/>
  </tableColumns>
  <tableStyleInfo name="AL supplier decarbonization rec-style 5" showColumnStripes="0" showFirstColumn="1" showLastColumn="1" showRowStripes="1"/>
</table>
</file>

<file path=xl/tables/table7.xml><?xml version="1.0" encoding="utf-8"?>
<table xmlns="http://schemas.openxmlformats.org/spreadsheetml/2006/main" headerRowCount="0" ref="E28:G31" displayName="Table_3" name="Table_3" id="7">
  <tableColumns count="3">
    <tableColumn name="Column1" id="1"/>
    <tableColumn name="Column2" id="2"/>
    <tableColumn name="Column3" id="3"/>
  </tableColumns>
  <tableStyleInfo name="AL supplier decarbonization rec-style 6" showColumnStripes="0" showFirstColumn="1" showLastColumn="1" showRowStripes="1"/>
</table>
</file>

<file path=xl/tables/table8.xml><?xml version="1.0" encoding="utf-8"?>
<table xmlns="http://schemas.openxmlformats.org/spreadsheetml/2006/main" ref="A1:D17" displayName="Table1_2" name="Table1_2" id="8">
  <tableColumns count="4">
    <tableColumn name="Field " id="1"/>
    <tableColumn name="Units " id="2"/>
    <tableColumn name="Inputs" id="3"/>
    <tableColumn name="notes" id="4"/>
  </tableColumns>
  <tableStyleInfo name="Electric Tru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23T05:12:52.00" personId="{7aab473b-47f2-4dbf-9b82-e965c1fc99d5}" id="{acfb225f-a883-4cad-9787-63b021838194}" done="0">
    <x18tc:text xml:space="preserve">need to recheck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idhiee.beeindia.gov.in/images/DigitalLibrary/637875185076231699.pdf?utm_source=chatgpt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ompton.co.in/blogs/fans-guide/bldc-fans-vs-normal-fan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undayguardianlive.com/business/fuel-prices-today-12-march-2026-petrol-diesel-steady-despite-crude-spike-to-98-lpg-up-60-cng-edges-higher-check-city-wise-rates-175670/?utm_source=chatgpt.co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38"/>
    <col customWidth="1" min="3" max="3" width="80.13"/>
    <col customWidth="1" min="4" max="4" width="25.5"/>
    <col customWidth="1" min="5" max="5" width="85.25"/>
  </cols>
  <sheetData>
    <row r="1">
      <c r="A1" s="1"/>
      <c r="B1" s="1"/>
      <c r="C1" s="1"/>
      <c r="D1" s="1"/>
      <c r="G1" s="1"/>
      <c r="K1" s="1"/>
    </row>
    <row r="2">
      <c r="A2" s="1"/>
      <c r="B2" s="2" t="s">
        <v>0</v>
      </c>
      <c r="K2" s="1"/>
    </row>
    <row r="3">
      <c r="B3" s="1"/>
      <c r="C3" s="1"/>
      <c r="D3" s="1"/>
      <c r="G3" s="1"/>
      <c r="K3" s="1"/>
    </row>
    <row r="4">
      <c r="B4" s="3" t="s">
        <v>1</v>
      </c>
      <c r="K4" s="1"/>
    </row>
    <row r="5">
      <c r="B5" s="1" t="s">
        <v>2</v>
      </c>
      <c r="C5" s="1" t="s">
        <v>3</v>
      </c>
      <c r="D5" s="1" t="s">
        <v>4</v>
      </c>
      <c r="E5" s="1" t="s">
        <v>5</v>
      </c>
      <c r="G5" s="1"/>
      <c r="K5" s="1"/>
    </row>
    <row r="6">
      <c r="B6" s="1">
        <v>1.0</v>
      </c>
      <c r="C6" s="1" t="s">
        <v>6</v>
      </c>
      <c r="D6" s="4" t="s">
        <v>7</v>
      </c>
      <c r="K6" s="1"/>
    </row>
    <row r="7">
      <c r="B7" s="1">
        <v>2.0</v>
      </c>
      <c r="C7" s="1" t="s">
        <v>8</v>
      </c>
      <c r="G7" s="1"/>
    </row>
    <row r="8">
      <c r="B8" s="1">
        <v>3.0</v>
      </c>
      <c r="C8" s="1" t="s">
        <v>9</v>
      </c>
      <c r="E8" s="5" t="s">
        <v>10</v>
      </c>
    </row>
    <row r="9">
      <c r="B9" s="1">
        <v>4.0</v>
      </c>
      <c r="C9" s="1" t="s">
        <v>11</v>
      </c>
      <c r="D9" s="6"/>
      <c r="E9" s="1" t="s">
        <v>12</v>
      </c>
      <c r="G9" s="1"/>
    </row>
    <row r="10">
      <c r="B10" s="1">
        <v>5.0</v>
      </c>
      <c r="C10" s="1" t="s">
        <v>13</v>
      </c>
      <c r="E10" s="1" t="s">
        <v>14</v>
      </c>
    </row>
    <row r="11">
      <c r="B11" s="1">
        <v>6.0</v>
      </c>
      <c r="C11" s="1" t="s">
        <v>15</v>
      </c>
      <c r="D11" s="6"/>
      <c r="E11" s="1" t="s">
        <v>12</v>
      </c>
    </row>
    <row r="12">
      <c r="B12" s="1">
        <v>7.0</v>
      </c>
      <c r="C12" s="1" t="s">
        <v>16</v>
      </c>
      <c r="E12" s="1" t="s">
        <v>17</v>
      </c>
    </row>
    <row r="13">
      <c r="B13" s="1">
        <v>8.0</v>
      </c>
      <c r="C13" s="1" t="s">
        <v>18</v>
      </c>
      <c r="D13" s="6"/>
      <c r="E13" s="1" t="s">
        <v>12</v>
      </c>
      <c r="G13" s="1"/>
    </row>
    <row r="14">
      <c r="B14" s="1">
        <v>9.0</v>
      </c>
      <c r="C14" s="1" t="s">
        <v>19</v>
      </c>
      <c r="E14" s="1" t="s">
        <v>20</v>
      </c>
    </row>
    <row r="15">
      <c r="B15" s="1">
        <v>10.0</v>
      </c>
      <c r="C15" s="1" t="s">
        <v>21</v>
      </c>
      <c r="D15" s="6"/>
      <c r="E15" s="1" t="s">
        <v>22</v>
      </c>
    </row>
    <row r="16">
      <c r="B16" s="1">
        <v>11.0</v>
      </c>
      <c r="C16" s="1" t="s">
        <v>23</v>
      </c>
      <c r="D16" s="6"/>
      <c r="E16" s="1" t="s">
        <v>24</v>
      </c>
    </row>
    <row r="17">
      <c r="B17" s="1">
        <v>12.0</v>
      </c>
      <c r="C17" s="1" t="s">
        <v>25</v>
      </c>
      <c r="E17" s="1" t="s">
        <v>26</v>
      </c>
      <c r="G17" s="1"/>
    </row>
    <row r="18">
      <c r="B18" s="1">
        <v>13.0</v>
      </c>
      <c r="C18" s="1" t="s">
        <v>27</v>
      </c>
      <c r="D18" s="6"/>
      <c r="E18" s="1" t="s">
        <v>28</v>
      </c>
    </row>
    <row r="19">
      <c r="B19" s="1">
        <v>14.0</v>
      </c>
      <c r="C19" s="1" t="s">
        <v>29</v>
      </c>
      <c r="D19" s="6"/>
      <c r="E19" s="1" t="s">
        <v>30</v>
      </c>
      <c r="G19" s="1"/>
    </row>
    <row r="20">
      <c r="B20" s="1"/>
    </row>
    <row r="21">
      <c r="B21" s="3" t="s">
        <v>31</v>
      </c>
      <c r="G21" s="1"/>
    </row>
    <row r="22">
      <c r="B22" s="1" t="s">
        <v>2</v>
      </c>
      <c r="C22" s="1" t="s">
        <v>3</v>
      </c>
      <c r="D22" s="1" t="s">
        <v>4</v>
      </c>
    </row>
    <row r="23">
      <c r="B23" s="1">
        <v>1.0</v>
      </c>
      <c r="C23" s="1" t="s">
        <v>32</v>
      </c>
      <c r="D23" s="4"/>
      <c r="E23" s="1" t="s">
        <v>33</v>
      </c>
      <c r="G23" s="1"/>
    </row>
    <row r="24">
      <c r="B24" s="1">
        <v>2.0</v>
      </c>
      <c r="C24" s="1" t="s">
        <v>34</v>
      </c>
      <c r="D24" s="1" t="s">
        <v>35</v>
      </c>
      <c r="E24" s="1" t="s">
        <v>36</v>
      </c>
    </row>
    <row r="25">
      <c r="B25" s="1">
        <v>3.0</v>
      </c>
      <c r="C25" s="1" t="s">
        <v>37</v>
      </c>
      <c r="G25" s="1"/>
    </row>
    <row r="26">
      <c r="B26" s="1">
        <v>4.0</v>
      </c>
      <c r="C26" s="1" t="s">
        <v>38</v>
      </c>
    </row>
    <row r="28">
      <c r="B28" s="3" t="s">
        <v>39</v>
      </c>
    </row>
    <row r="29">
      <c r="B29" s="1" t="s">
        <v>2</v>
      </c>
      <c r="C29" s="1" t="s">
        <v>3</v>
      </c>
      <c r="D29" s="1" t="s">
        <v>4</v>
      </c>
    </row>
    <row r="30">
      <c r="B30" s="1">
        <v>1.0</v>
      </c>
      <c r="C30" s="1" t="s">
        <v>40</v>
      </c>
    </row>
    <row r="31">
      <c r="B31" s="1">
        <v>2.0</v>
      </c>
      <c r="C31" s="1" t="s">
        <v>41</v>
      </c>
      <c r="D31" s="6"/>
      <c r="E31" s="1" t="s">
        <v>42</v>
      </c>
    </row>
    <row r="32">
      <c r="B32" s="1">
        <v>3.0</v>
      </c>
      <c r="C32" s="1" t="s">
        <v>43</v>
      </c>
      <c r="E32" s="1" t="s">
        <v>44</v>
      </c>
    </row>
    <row r="33">
      <c r="B33" s="1">
        <v>4.0</v>
      </c>
      <c r="C33" s="1" t="s">
        <v>45</v>
      </c>
      <c r="E33" s="1" t="s">
        <v>46</v>
      </c>
    </row>
    <row r="34">
      <c r="B34" s="1">
        <v>5.0</v>
      </c>
      <c r="C34" s="1" t="s">
        <v>47</v>
      </c>
    </row>
    <row r="35">
      <c r="B35" s="1">
        <v>6.0</v>
      </c>
      <c r="C35" s="1" t="s">
        <v>48</v>
      </c>
    </row>
    <row r="36">
      <c r="B36" s="1">
        <v>7.0</v>
      </c>
      <c r="C36" s="1" t="s">
        <v>49</v>
      </c>
    </row>
    <row r="37">
      <c r="B37" s="1">
        <v>8.0</v>
      </c>
      <c r="C37" s="1" t="s">
        <v>50</v>
      </c>
    </row>
    <row r="38">
      <c r="B38" s="1">
        <v>9.0</v>
      </c>
      <c r="C38" s="1" t="s">
        <v>51</v>
      </c>
    </row>
    <row r="39">
      <c r="B39" s="1">
        <v>10.0</v>
      </c>
      <c r="C39" s="1" t="s">
        <v>52</v>
      </c>
    </row>
    <row r="40">
      <c r="B40" s="1">
        <v>11.0</v>
      </c>
      <c r="C40" s="1" t="s">
        <v>53</v>
      </c>
    </row>
    <row r="41">
      <c r="B41" s="1">
        <v>12.0</v>
      </c>
      <c r="C41" s="1" t="s">
        <v>54</v>
      </c>
    </row>
    <row r="42">
      <c r="B42" s="1">
        <v>13.0</v>
      </c>
      <c r="C42" s="1" t="s">
        <v>55</v>
      </c>
      <c r="D42" s="6"/>
      <c r="E42" s="1" t="s">
        <v>56</v>
      </c>
    </row>
    <row r="44">
      <c r="B44" s="3" t="s">
        <v>57</v>
      </c>
    </row>
    <row r="45">
      <c r="B45" s="1" t="s">
        <v>2</v>
      </c>
      <c r="C45" s="1" t="s">
        <v>3</v>
      </c>
      <c r="D45" s="1" t="s">
        <v>4</v>
      </c>
    </row>
    <row r="46">
      <c r="B46" s="1">
        <v>1.0</v>
      </c>
      <c r="C46" s="1" t="s">
        <v>58</v>
      </c>
      <c r="D46" s="4" t="s">
        <v>59</v>
      </c>
      <c r="E46" s="1" t="s">
        <v>60</v>
      </c>
    </row>
    <row r="47">
      <c r="B47" s="1">
        <v>2.0</v>
      </c>
      <c r="C47" s="1" t="s">
        <v>61</v>
      </c>
      <c r="E47" s="1" t="s">
        <v>62</v>
      </c>
    </row>
    <row r="49">
      <c r="B49" s="3" t="s">
        <v>63</v>
      </c>
    </row>
    <row r="50">
      <c r="B50" s="1" t="s">
        <v>2</v>
      </c>
      <c r="C50" s="1" t="s">
        <v>3</v>
      </c>
      <c r="D50" s="1" t="s">
        <v>4</v>
      </c>
    </row>
    <row r="51">
      <c r="B51" s="1">
        <v>1.0</v>
      </c>
      <c r="C51" s="1" t="s">
        <v>64</v>
      </c>
      <c r="D51" s="6"/>
      <c r="E51" s="1" t="s">
        <v>65</v>
      </c>
    </row>
    <row r="52">
      <c r="C52" s="5"/>
    </row>
    <row r="54">
      <c r="B54" s="3" t="s">
        <v>66</v>
      </c>
    </row>
    <row r="55">
      <c r="B55" s="1" t="s">
        <v>2</v>
      </c>
      <c r="C55" s="1" t="s">
        <v>3</v>
      </c>
      <c r="D55" s="1" t="s">
        <v>4</v>
      </c>
    </row>
    <row r="56">
      <c r="B56" s="1">
        <v>1.0</v>
      </c>
      <c r="C56" s="1" t="s">
        <v>67</v>
      </c>
      <c r="D56" s="6"/>
      <c r="E56" s="1" t="s">
        <v>68</v>
      </c>
    </row>
    <row r="57">
      <c r="B57" s="1">
        <v>2.0</v>
      </c>
      <c r="C57" s="1" t="s">
        <v>69</v>
      </c>
      <c r="D57" s="6"/>
      <c r="E57" s="1" t="s">
        <v>70</v>
      </c>
    </row>
    <row r="59">
      <c r="B59" s="3" t="s">
        <v>71</v>
      </c>
    </row>
    <row r="60">
      <c r="B60" s="1" t="s">
        <v>2</v>
      </c>
      <c r="C60" s="1" t="s">
        <v>3</v>
      </c>
      <c r="D60" s="1" t="s">
        <v>4</v>
      </c>
    </row>
    <row r="61">
      <c r="B61" s="1">
        <v>1.0</v>
      </c>
      <c r="C61" s="1" t="s">
        <v>72</v>
      </c>
      <c r="E61" s="1" t="s">
        <v>73</v>
      </c>
    </row>
    <row r="62">
      <c r="B62" s="1">
        <v>2.0</v>
      </c>
      <c r="C62" s="1" t="s">
        <v>74</v>
      </c>
      <c r="E62" s="1" t="s">
        <v>75</v>
      </c>
    </row>
    <row r="64">
      <c r="B64" s="3" t="s">
        <v>76</v>
      </c>
    </row>
    <row r="65">
      <c r="B65" s="1" t="s">
        <v>2</v>
      </c>
      <c r="C65" s="1" t="s">
        <v>3</v>
      </c>
      <c r="D65" s="1" t="s">
        <v>4</v>
      </c>
    </row>
    <row r="66">
      <c r="B66" s="1">
        <v>1.0</v>
      </c>
      <c r="C66" s="1" t="s">
        <v>77</v>
      </c>
      <c r="D66" s="6"/>
    </row>
    <row r="67">
      <c r="B67" s="1">
        <v>2.0</v>
      </c>
      <c r="C67" s="1" t="s">
        <v>78</v>
      </c>
      <c r="D67" s="6"/>
      <c r="E67" s="1"/>
    </row>
    <row r="68">
      <c r="B68" s="1">
        <v>3.0</v>
      </c>
      <c r="C68" s="1" t="s">
        <v>79</v>
      </c>
      <c r="D68" s="6"/>
      <c r="E68" s="1"/>
    </row>
    <row r="69">
      <c r="B69" s="1">
        <v>4.0</v>
      </c>
      <c r="C69" s="1" t="s">
        <v>80</v>
      </c>
      <c r="D69" s="6"/>
      <c r="E69" s="1" t="s">
        <v>81</v>
      </c>
    </row>
    <row r="72">
      <c r="B72" s="1"/>
    </row>
    <row r="74">
      <c r="B74" s="1"/>
    </row>
    <row r="75">
      <c r="B75" s="1"/>
    </row>
    <row r="83">
      <c r="B83" s="1"/>
    </row>
    <row r="85">
      <c r="B85" s="1"/>
    </row>
    <row r="94">
      <c r="B94" s="1"/>
    </row>
    <row r="96">
      <c r="B96" s="1"/>
    </row>
  </sheetData>
  <mergeCells count="8">
    <mergeCell ref="B2:D2"/>
    <mergeCell ref="B4:D4"/>
    <mergeCell ref="B21:D21"/>
    <mergeCell ref="B28:D28"/>
    <mergeCell ref="B44:D44"/>
    <mergeCell ref="B49:D49"/>
    <mergeCell ref="B54:D54"/>
    <mergeCell ref="B59:D59"/>
  </mergeCells>
  <dataValidations>
    <dataValidation type="list" allowBlank="1" showErrorMessage="1" sqref="D9 D11 D13 D15">
      <formula1>"&lt;5 years,5-10 years,10-20 years,&gt;20 years"</formula1>
    </dataValidation>
    <dataValidation type="list" allowBlank="1" showErrorMessage="1" sqref="D16 D18:D19 D24 D51 D56:D57 D66:D69">
      <formula1>"Yes,No"</formula1>
    </dataValidation>
    <dataValidation type="list" allowBlank="1" showErrorMessage="1" sqref="D46">
      <formula1>"Open loop,Closed loop,Cooling tower,Plate Heat Exchanger,Chiller,Others"</formula1>
    </dataValidation>
    <dataValidation type="list" allowBlank="1" showErrorMessage="1" sqref="D6">
      <formula1>"Cupola,Oil-fired furnace,Gas-fired furnace,Induction furnace,Others"</formula1>
    </dataValidation>
    <dataValidation type="list" allowBlank="1" showErrorMessage="1" sqref="D42">
      <formula1>"Yes, we have continuous leak management system,Yes, we have periodic leak mangement system,No"</formula1>
    </dataValidation>
    <dataValidation type="list" allowBlank="1" showErrorMessage="1" sqref="D31">
      <formula1>"Reciprocating,Fixed Speed Screw,Variable Speed Drive Screw,Centrifugal,Other"</formula1>
    </dataValidation>
    <dataValidation type="list" allowBlank="1" showErrorMessage="1" sqref="D23">
      <formula1>"IE1/IE2,IE3/IE4/IE5,Unknown"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9.75"/>
    <col customWidth="1" min="3" max="3" width="69.75"/>
    <col customWidth="1" min="4" max="4" width="31.5"/>
    <col customWidth="1" min="5" max="5" width="44.13"/>
    <col customWidth="1" min="6" max="6" width="21.63"/>
    <col customWidth="1" min="7" max="7" width="28.5"/>
    <col customWidth="1" min="8" max="8" width="25.25"/>
  </cols>
  <sheetData>
    <row r="1">
      <c r="C1" s="7"/>
    </row>
    <row r="2">
      <c r="A2" s="8" t="s">
        <v>82</v>
      </c>
      <c r="B2" s="8" t="s">
        <v>83</v>
      </c>
      <c r="C2" s="9" t="s">
        <v>3</v>
      </c>
      <c r="D2" s="8" t="s">
        <v>84</v>
      </c>
      <c r="E2" s="8" t="s">
        <v>85</v>
      </c>
      <c r="F2" s="8" t="s">
        <v>86</v>
      </c>
      <c r="G2" s="8" t="s">
        <v>87</v>
      </c>
      <c r="H2" s="8" t="s">
        <v>88</v>
      </c>
      <c r="I2" s="8" t="s">
        <v>89</v>
      </c>
    </row>
    <row r="3">
      <c r="A3" s="1" t="s">
        <v>90</v>
      </c>
      <c r="B3" s="10" t="s">
        <v>91</v>
      </c>
      <c r="C3" s="11" t="s">
        <v>92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97</v>
      </c>
      <c r="I3" s="1" t="s">
        <v>98</v>
      </c>
    </row>
    <row r="4">
      <c r="A4" s="1" t="s">
        <v>90</v>
      </c>
      <c r="B4" s="1" t="s">
        <v>91</v>
      </c>
      <c r="C4" s="5" t="s">
        <v>99</v>
      </c>
      <c r="D4" s="1" t="s">
        <v>93</v>
      </c>
      <c r="E4" s="1" t="s">
        <v>94</v>
      </c>
      <c r="F4" s="1" t="s">
        <v>95</v>
      </c>
      <c r="G4" s="1"/>
      <c r="H4" s="1"/>
      <c r="I4" s="1"/>
    </row>
    <row r="5">
      <c r="A5" s="1" t="s">
        <v>100</v>
      </c>
      <c r="B5" s="1" t="s">
        <v>101</v>
      </c>
      <c r="C5" s="5" t="s">
        <v>102</v>
      </c>
      <c r="D5" s="1" t="s">
        <v>103</v>
      </c>
      <c r="E5" s="1" t="s">
        <v>104</v>
      </c>
      <c r="F5" s="1" t="s">
        <v>95</v>
      </c>
      <c r="G5" s="1" t="s">
        <v>105</v>
      </c>
      <c r="H5" s="1" t="s">
        <v>106</v>
      </c>
      <c r="I5" s="1" t="s">
        <v>107</v>
      </c>
    </row>
    <row r="6">
      <c r="A6" s="1" t="s">
        <v>100</v>
      </c>
      <c r="B6" s="1" t="s">
        <v>101</v>
      </c>
      <c r="C6" s="5" t="s">
        <v>108</v>
      </c>
      <c r="D6" s="1" t="s">
        <v>103</v>
      </c>
      <c r="E6" s="1" t="s">
        <v>104</v>
      </c>
      <c r="F6" s="1" t="s">
        <v>95</v>
      </c>
      <c r="G6" s="1"/>
      <c r="H6" s="1"/>
      <c r="I6" s="1"/>
    </row>
    <row r="7">
      <c r="A7" s="1" t="s">
        <v>100</v>
      </c>
      <c r="B7" s="1" t="s">
        <v>101</v>
      </c>
      <c r="C7" s="5" t="s">
        <v>109</v>
      </c>
      <c r="D7" s="1" t="s">
        <v>103</v>
      </c>
      <c r="E7" s="1" t="s">
        <v>104</v>
      </c>
      <c r="F7" s="1" t="s">
        <v>95</v>
      </c>
      <c r="G7" s="1"/>
      <c r="H7" s="1"/>
      <c r="I7" s="1"/>
    </row>
    <row r="8">
      <c r="A8" s="1" t="s">
        <v>90</v>
      </c>
      <c r="B8" s="1" t="s">
        <v>110</v>
      </c>
      <c r="C8" s="5" t="s">
        <v>111</v>
      </c>
      <c r="D8" s="1" t="s">
        <v>112</v>
      </c>
      <c r="E8" s="1" t="s">
        <v>113</v>
      </c>
      <c r="F8" s="1" t="s">
        <v>95</v>
      </c>
      <c r="G8" s="1" t="s">
        <v>114</v>
      </c>
      <c r="H8" s="1" t="s">
        <v>115</v>
      </c>
      <c r="I8" s="1" t="s">
        <v>116</v>
      </c>
    </row>
    <row r="9">
      <c r="A9" s="1" t="s">
        <v>117</v>
      </c>
      <c r="B9" s="1" t="s">
        <v>118</v>
      </c>
      <c r="C9" s="5" t="s">
        <v>119</v>
      </c>
      <c r="D9" s="1" t="s">
        <v>120</v>
      </c>
      <c r="E9" s="1" t="s">
        <v>121</v>
      </c>
      <c r="F9" s="1" t="s">
        <v>95</v>
      </c>
      <c r="G9" s="1" t="s">
        <v>122</v>
      </c>
      <c r="H9" s="1" t="s">
        <v>123</v>
      </c>
      <c r="I9" s="1" t="s">
        <v>123</v>
      </c>
    </row>
    <row r="10">
      <c r="A10" s="1" t="s">
        <v>117</v>
      </c>
      <c r="B10" s="1" t="s">
        <v>124</v>
      </c>
      <c r="C10" s="5" t="s">
        <v>125</v>
      </c>
      <c r="D10" s="1" t="s">
        <v>126</v>
      </c>
      <c r="E10" s="1" t="s">
        <v>127</v>
      </c>
      <c r="F10" s="1" t="s">
        <v>95</v>
      </c>
      <c r="G10" s="1" t="s">
        <v>128</v>
      </c>
      <c r="H10" s="1" t="s">
        <v>129</v>
      </c>
      <c r="I10" s="1" t="s">
        <v>98</v>
      </c>
    </row>
    <row r="11">
      <c r="A11" s="1" t="s">
        <v>130</v>
      </c>
      <c r="B11" s="1" t="s">
        <v>131</v>
      </c>
      <c r="C11" s="5" t="s">
        <v>132</v>
      </c>
      <c r="D11" s="1" t="s">
        <v>133</v>
      </c>
      <c r="E11" s="1" t="s">
        <v>134</v>
      </c>
      <c r="F11" s="1" t="s">
        <v>95</v>
      </c>
      <c r="G11" s="1" t="s">
        <v>135</v>
      </c>
      <c r="H11" s="1" t="s">
        <v>136</v>
      </c>
      <c r="I11" s="1" t="s">
        <v>107</v>
      </c>
    </row>
    <row r="12">
      <c r="A12" s="1" t="s">
        <v>137</v>
      </c>
      <c r="B12" s="1" t="s">
        <v>138</v>
      </c>
      <c r="C12" s="5" t="s">
        <v>139</v>
      </c>
      <c r="D12" s="1" t="s">
        <v>140</v>
      </c>
      <c r="E12" s="1" t="s">
        <v>141</v>
      </c>
      <c r="F12" s="1" t="s">
        <v>142</v>
      </c>
    </row>
    <row r="13">
      <c r="A13" s="1" t="s">
        <v>137</v>
      </c>
      <c r="B13" s="1" t="s">
        <v>138</v>
      </c>
      <c r="C13" s="5" t="s">
        <v>143</v>
      </c>
      <c r="D13" s="1" t="s">
        <v>140</v>
      </c>
      <c r="E13" s="1" t="s">
        <v>144</v>
      </c>
      <c r="F13" s="1" t="s">
        <v>142</v>
      </c>
      <c r="G13" s="1"/>
      <c r="H13" s="1"/>
      <c r="I13" s="1"/>
    </row>
    <row r="14">
      <c r="A14" s="1" t="s">
        <v>137</v>
      </c>
      <c r="B14" s="1" t="s">
        <v>138</v>
      </c>
      <c r="C14" s="5" t="s">
        <v>145</v>
      </c>
      <c r="D14" s="1" t="s">
        <v>140</v>
      </c>
      <c r="E14" s="1" t="s">
        <v>146</v>
      </c>
      <c r="F14" s="1" t="s">
        <v>142</v>
      </c>
      <c r="G14" s="1"/>
      <c r="H14" s="1"/>
      <c r="I14" s="1"/>
    </row>
    <row r="15">
      <c r="A15" s="1" t="s">
        <v>137</v>
      </c>
      <c r="B15" s="1" t="s">
        <v>138</v>
      </c>
      <c r="C15" s="5" t="s">
        <v>147</v>
      </c>
      <c r="D15" s="1" t="s">
        <v>140</v>
      </c>
      <c r="E15" s="1" t="s">
        <v>148</v>
      </c>
      <c r="F15" s="1" t="s">
        <v>142</v>
      </c>
      <c r="G15" s="1" t="s">
        <v>149</v>
      </c>
      <c r="H15" s="1" t="s">
        <v>97</v>
      </c>
      <c r="I15" s="1" t="s">
        <v>150</v>
      </c>
    </row>
    <row r="16">
      <c r="A16" s="1" t="s">
        <v>137</v>
      </c>
      <c r="B16" s="1" t="s">
        <v>151</v>
      </c>
      <c r="C16" s="5" t="s">
        <v>152</v>
      </c>
      <c r="D16" s="1" t="s">
        <v>153</v>
      </c>
      <c r="E16" s="1" t="s">
        <v>154</v>
      </c>
      <c r="F16" s="1" t="s">
        <v>142</v>
      </c>
      <c r="G16" s="1" t="s">
        <v>155</v>
      </c>
      <c r="H16" s="1" t="s">
        <v>136</v>
      </c>
      <c r="I16" s="1" t="s">
        <v>98</v>
      </c>
    </row>
    <row r="17">
      <c r="A17" s="1" t="s">
        <v>137</v>
      </c>
      <c r="B17" s="1" t="s">
        <v>151</v>
      </c>
      <c r="C17" s="5" t="s">
        <v>156</v>
      </c>
      <c r="D17" s="1" t="s">
        <v>140</v>
      </c>
      <c r="E17" s="1" t="s">
        <v>154</v>
      </c>
      <c r="F17" s="1" t="s">
        <v>142</v>
      </c>
      <c r="G17" s="1"/>
      <c r="H17" s="1"/>
      <c r="I17" s="1"/>
    </row>
    <row r="18">
      <c r="A18" s="12" t="s">
        <v>137</v>
      </c>
      <c r="B18" s="12" t="s">
        <v>157</v>
      </c>
      <c r="C18" s="13" t="s">
        <v>158</v>
      </c>
      <c r="D18" s="12" t="s">
        <v>159</v>
      </c>
      <c r="E18" s="12" t="s">
        <v>160</v>
      </c>
      <c r="F18" s="12" t="s">
        <v>142</v>
      </c>
      <c r="G18" s="12" t="s">
        <v>161</v>
      </c>
      <c r="H18" s="14" t="s">
        <v>162</v>
      </c>
      <c r="I18" s="15"/>
    </row>
    <row r="19">
      <c r="A19" s="12" t="s">
        <v>137</v>
      </c>
      <c r="B19" s="12" t="s">
        <v>157</v>
      </c>
      <c r="C19" s="13" t="s">
        <v>163</v>
      </c>
      <c r="D19" s="12" t="s">
        <v>159</v>
      </c>
      <c r="E19" s="12" t="s">
        <v>160</v>
      </c>
      <c r="F19" s="12" t="s">
        <v>142</v>
      </c>
      <c r="G19" s="12" t="s">
        <v>161</v>
      </c>
      <c r="I19" s="15"/>
    </row>
    <row r="20">
      <c r="A20" s="12" t="s">
        <v>137</v>
      </c>
      <c r="B20" s="12" t="s">
        <v>157</v>
      </c>
      <c r="C20" s="13" t="s">
        <v>164</v>
      </c>
      <c r="D20" s="12" t="s">
        <v>159</v>
      </c>
      <c r="E20" s="12" t="s">
        <v>160</v>
      </c>
      <c r="F20" s="12" t="s">
        <v>142</v>
      </c>
      <c r="G20" s="12" t="s">
        <v>161</v>
      </c>
      <c r="I20" s="15"/>
    </row>
    <row r="21">
      <c r="A21" s="1" t="s">
        <v>165</v>
      </c>
      <c r="B21" s="1" t="s">
        <v>166</v>
      </c>
      <c r="C21" s="5" t="s">
        <v>167</v>
      </c>
      <c r="D21" s="1" t="s">
        <v>140</v>
      </c>
      <c r="E21" s="1" t="s">
        <v>146</v>
      </c>
      <c r="F21" s="1" t="s">
        <v>142</v>
      </c>
    </row>
    <row r="22">
      <c r="A22" s="1" t="s">
        <v>165</v>
      </c>
      <c r="B22" s="1" t="s">
        <v>166</v>
      </c>
      <c r="C22" s="5" t="s">
        <v>168</v>
      </c>
      <c r="D22" s="1" t="s">
        <v>153</v>
      </c>
      <c r="E22" s="1" t="s">
        <v>169</v>
      </c>
      <c r="F22" s="1" t="s">
        <v>142</v>
      </c>
      <c r="G22" s="1" t="s">
        <v>155</v>
      </c>
      <c r="H22" s="1" t="s">
        <v>136</v>
      </c>
      <c r="I22" s="1" t="s">
        <v>98</v>
      </c>
    </row>
    <row r="23">
      <c r="A23" s="1" t="s">
        <v>165</v>
      </c>
      <c r="B23" s="1" t="s">
        <v>170</v>
      </c>
      <c r="C23" s="5" t="s">
        <v>171</v>
      </c>
      <c r="D23" s="1" t="s">
        <v>140</v>
      </c>
      <c r="E23" s="1" t="s">
        <v>172</v>
      </c>
      <c r="F23" s="1" t="s">
        <v>142</v>
      </c>
      <c r="G23" s="1" t="s">
        <v>173</v>
      </c>
      <c r="H23" s="1" t="s">
        <v>174</v>
      </c>
      <c r="I23" s="1" t="s">
        <v>107</v>
      </c>
    </row>
    <row r="24">
      <c r="A24" s="12" t="s">
        <v>165</v>
      </c>
      <c r="B24" s="12" t="s">
        <v>166</v>
      </c>
      <c r="C24" s="13" t="s">
        <v>175</v>
      </c>
      <c r="D24" s="12" t="s">
        <v>159</v>
      </c>
      <c r="E24" s="12" t="s">
        <v>176</v>
      </c>
      <c r="F24" s="12" t="s">
        <v>142</v>
      </c>
      <c r="G24" s="12" t="s">
        <v>161</v>
      </c>
      <c r="H24" s="14" t="s">
        <v>177</v>
      </c>
      <c r="I24" s="12"/>
    </row>
    <row r="25">
      <c r="A25" s="12" t="s">
        <v>165</v>
      </c>
      <c r="B25" s="12" t="s">
        <v>166</v>
      </c>
      <c r="C25" s="13" t="s">
        <v>178</v>
      </c>
      <c r="D25" s="12" t="s">
        <v>159</v>
      </c>
      <c r="E25" s="12" t="s">
        <v>176</v>
      </c>
      <c r="F25" s="12" t="s">
        <v>142</v>
      </c>
      <c r="G25" s="12" t="s">
        <v>161</v>
      </c>
      <c r="I25" s="12"/>
    </row>
    <row r="26">
      <c r="A26" s="12" t="s">
        <v>165</v>
      </c>
      <c r="B26" s="12" t="s">
        <v>166</v>
      </c>
      <c r="C26" s="13" t="s">
        <v>179</v>
      </c>
      <c r="D26" s="12" t="s">
        <v>159</v>
      </c>
      <c r="E26" s="12" t="s">
        <v>176</v>
      </c>
      <c r="F26" s="12" t="s">
        <v>142</v>
      </c>
      <c r="G26" s="12" t="s">
        <v>161</v>
      </c>
      <c r="I26" s="12"/>
    </row>
    <row r="27">
      <c r="A27" s="1" t="s">
        <v>165</v>
      </c>
      <c r="B27" s="1" t="s">
        <v>180</v>
      </c>
      <c r="C27" s="5" t="s">
        <v>181</v>
      </c>
      <c r="D27" s="1" t="s">
        <v>35</v>
      </c>
      <c r="E27" s="1" t="s">
        <v>182</v>
      </c>
      <c r="F27" s="1" t="s">
        <v>183</v>
      </c>
      <c r="G27" s="1"/>
      <c r="H27" s="1"/>
      <c r="I27" s="1"/>
    </row>
    <row r="28">
      <c r="A28" s="1" t="s">
        <v>184</v>
      </c>
      <c r="B28" s="1" t="s">
        <v>185</v>
      </c>
      <c r="C28" s="5" t="s">
        <v>186</v>
      </c>
      <c r="D28" s="1" t="s">
        <v>140</v>
      </c>
      <c r="E28" s="1" t="s">
        <v>187</v>
      </c>
      <c r="F28" s="1" t="s">
        <v>95</v>
      </c>
      <c r="G28" s="1" t="s">
        <v>188</v>
      </c>
      <c r="H28" s="1" t="s">
        <v>189</v>
      </c>
      <c r="I28" s="1" t="s">
        <v>150</v>
      </c>
    </row>
    <row r="29">
      <c r="A29" s="1" t="s">
        <v>190</v>
      </c>
      <c r="B29" s="1" t="s">
        <v>191</v>
      </c>
      <c r="C29" s="5" t="s">
        <v>192</v>
      </c>
      <c r="D29" s="1" t="s">
        <v>140</v>
      </c>
      <c r="E29" s="1" t="s">
        <v>193</v>
      </c>
      <c r="F29" s="1" t="s">
        <v>95</v>
      </c>
      <c r="G29" s="1" t="s">
        <v>194</v>
      </c>
      <c r="H29" s="1" t="s">
        <v>195</v>
      </c>
      <c r="I29" s="1" t="s">
        <v>196</v>
      </c>
    </row>
    <row r="30">
      <c r="A30" s="12" t="s">
        <v>197</v>
      </c>
      <c r="B30" s="12" t="s">
        <v>198</v>
      </c>
      <c r="C30" s="13" t="s">
        <v>199</v>
      </c>
      <c r="D30" s="12" t="s">
        <v>35</v>
      </c>
      <c r="E30" s="12" t="s">
        <v>200</v>
      </c>
      <c r="F30" s="12" t="s">
        <v>95</v>
      </c>
      <c r="G30" s="12" t="s">
        <v>201</v>
      </c>
      <c r="H30" s="13" t="s">
        <v>202</v>
      </c>
      <c r="I30" s="12" t="s">
        <v>150</v>
      </c>
    </row>
    <row r="31">
      <c r="A31" s="1" t="s">
        <v>203</v>
      </c>
      <c r="B31" s="1" t="s">
        <v>204</v>
      </c>
      <c r="C31" s="5" t="s">
        <v>205</v>
      </c>
      <c r="D31" s="1" t="s">
        <v>140</v>
      </c>
      <c r="E31" s="5" t="s">
        <v>206</v>
      </c>
      <c r="F31" s="1" t="s">
        <v>95</v>
      </c>
      <c r="G31" s="1" t="s">
        <v>207</v>
      </c>
      <c r="H31" s="1" t="s">
        <v>208</v>
      </c>
      <c r="I31" s="1" t="s">
        <v>209</v>
      </c>
    </row>
    <row r="32">
      <c r="A32" s="1" t="s">
        <v>210</v>
      </c>
      <c r="B32" s="1" t="s">
        <v>211</v>
      </c>
      <c r="C32" s="5" t="s">
        <v>212</v>
      </c>
      <c r="D32" s="1" t="s">
        <v>213</v>
      </c>
      <c r="E32" s="1" t="s">
        <v>214</v>
      </c>
      <c r="F32" s="1" t="s">
        <v>95</v>
      </c>
      <c r="G32" s="1" t="s">
        <v>215</v>
      </c>
      <c r="H32" s="1" t="s">
        <v>216</v>
      </c>
      <c r="I32" s="1" t="s">
        <v>217</v>
      </c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</sheetData>
  <autoFilter ref="$A$2:$I$32"/>
  <mergeCells count="2">
    <mergeCell ref="H18:H20"/>
    <mergeCell ref="H24:H26"/>
  </mergeCells>
  <hyperlinks>
    <hyperlink display="&#10;https://docs.google.com/spreadsheets/d/1y_7USpWFmeh3RAkzC-bHZ1ffTl8MBB0PZiUmP3LJlUk/edit?gid=1201408005#gid=1201408005" location="'FurnaceBoiler - Fuel switch'!A1" ref="H18"/>
    <hyperlink display="&#10;https://docs.google.com/spreadsheets/d/1y_7USpWFmeh3RAkzC-bHZ1ffTl8MBB0PZiUmP3LJlUk/edit?gid=1201408005#gid=1201408005" location="'FurnaceBoiler - Fuel switch'!A1" ref="H2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3" max="3" width="29.25"/>
    <col customWidth="1" min="4" max="4" width="38.38"/>
    <col customWidth="1" min="5" max="5" width="34.38"/>
    <col customWidth="1" min="6" max="6" width="32.25"/>
    <col customWidth="1" min="7" max="7" width="17.63"/>
  </cols>
  <sheetData>
    <row r="2">
      <c r="B2" s="16" t="s">
        <v>218</v>
      </c>
    </row>
    <row r="4">
      <c r="B4" s="17" t="s">
        <v>219</v>
      </c>
      <c r="C4" s="17" t="s">
        <v>220</v>
      </c>
      <c r="D4" s="17" t="s">
        <v>221</v>
      </c>
      <c r="E4" s="17" t="s">
        <v>222</v>
      </c>
      <c r="F4" s="17" t="s">
        <v>223</v>
      </c>
      <c r="G4" s="17" t="s">
        <v>224</v>
      </c>
    </row>
    <row r="5">
      <c r="B5" s="18" t="s">
        <v>225</v>
      </c>
      <c r="C5" s="18" t="s">
        <v>226</v>
      </c>
      <c r="D5" s="18">
        <v>0.37675</v>
      </c>
      <c r="E5" s="18">
        <v>0.28523</v>
      </c>
      <c r="F5" s="19">
        <f t="shared" ref="F5:F17" si="1">D5-E5</f>
        <v>0.09152</v>
      </c>
      <c r="G5" s="20">
        <f t="shared" ref="G5:G17" si="2">F5/D5</f>
        <v>0.242919708</v>
      </c>
    </row>
    <row r="6">
      <c r="B6" s="18" t="s">
        <v>225</v>
      </c>
      <c r="C6" s="18" t="s">
        <v>227</v>
      </c>
      <c r="D6" s="18">
        <v>0.37675</v>
      </c>
      <c r="E6" s="18">
        <v>0.23032</v>
      </c>
      <c r="F6" s="19">
        <f t="shared" si="1"/>
        <v>0.14643</v>
      </c>
      <c r="G6" s="20">
        <f t="shared" si="2"/>
        <v>0.3886662243</v>
      </c>
    </row>
    <row r="7">
      <c r="B7" s="18" t="s">
        <v>225</v>
      </c>
      <c r="C7" s="18" t="s">
        <v>228</v>
      </c>
      <c r="D7" s="18">
        <v>0.37675</v>
      </c>
      <c r="E7" s="18">
        <v>0.20489</v>
      </c>
      <c r="F7" s="19">
        <f t="shared" si="1"/>
        <v>0.17186</v>
      </c>
      <c r="G7" s="20">
        <f t="shared" si="2"/>
        <v>0.4561645654</v>
      </c>
    </row>
    <row r="8">
      <c r="B8" s="18" t="s">
        <v>225</v>
      </c>
      <c r="C8" s="18" t="s">
        <v>229</v>
      </c>
      <c r="D8" s="18">
        <v>0.37675</v>
      </c>
      <c r="E8" s="18">
        <v>0.20489</v>
      </c>
      <c r="F8" s="19">
        <f t="shared" si="1"/>
        <v>0.17186</v>
      </c>
      <c r="G8" s="20">
        <f t="shared" si="2"/>
        <v>0.4561645654</v>
      </c>
    </row>
    <row r="9">
      <c r="B9" s="18" t="s">
        <v>225</v>
      </c>
      <c r="C9" s="18" t="s">
        <v>230</v>
      </c>
      <c r="D9" s="18">
        <v>0.37675</v>
      </c>
      <c r="E9" s="21">
        <f>5.05961*0.0036</f>
        <v>0.018214596</v>
      </c>
      <c r="F9" s="22">
        <f t="shared" si="1"/>
        <v>0.358535404</v>
      </c>
      <c r="G9" s="20">
        <f t="shared" si="2"/>
        <v>0.9516533616</v>
      </c>
    </row>
    <row r="10">
      <c r="B10" s="18" t="s">
        <v>225</v>
      </c>
      <c r="C10" s="18" t="s">
        <v>231</v>
      </c>
      <c r="D10" s="18">
        <v>0.37675</v>
      </c>
      <c r="E10" s="21">
        <f t="shared" ref="E10:E11" si="3">0.10625*0.0036</f>
        <v>0.0003825</v>
      </c>
      <c r="F10" s="22">
        <f t="shared" si="1"/>
        <v>0.3763675</v>
      </c>
      <c r="G10" s="20">
        <f t="shared" si="2"/>
        <v>0.9989847379</v>
      </c>
    </row>
    <row r="11">
      <c r="B11" s="18" t="s">
        <v>225</v>
      </c>
      <c r="C11" s="18" t="s">
        <v>232</v>
      </c>
      <c r="D11" s="18">
        <v>0.37675</v>
      </c>
      <c r="E11" s="21">
        <f t="shared" si="3"/>
        <v>0.0003825</v>
      </c>
      <c r="F11" s="22">
        <f t="shared" si="1"/>
        <v>0.3763675</v>
      </c>
      <c r="G11" s="20">
        <f t="shared" si="2"/>
        <v>0.9989847379</v>
      </c>
    </row>
    <row r="12">
      <c r="B12" s="18" t="s">
        <v>226</v>
      </c>
      <c r="C12" s="18" t="s">
        <v>227</v>
      </c>
      <c r="D12" s="18">
        <v>0.28523</v>
      </c>
      <c r="E12" s="18">
        <v>0.23032</v>
      </c>
      <c r="F12" s="19">
        <f t="shared" si="1"/>
        <v>0.05491</v>
      </c>
      <c r="G12" s="20">
        <f t="shared" si="2"/>
        <v>0.1925113067</v>
      </c>
    </row>
    <row r="13">
      <c r="B13" s="18" t="s">
        <v>226</v>
      </c>
      <c r="C13" s="18" t="s">
        <v>228</v>
      </c>
      <c r="D13" s="18">
        <v>0.28523</v>
      </c>
      <c r="E13" s="18">
        <v>0.20489</v>
      </c>
      <c r="F13" s="19">
        <f t="shared" si="1"/>
        <v>0.08034</v>
      </c>
      <c r="G13" s="20">
        <f t="shared" si="2"/>
        <v>0.2816674263</v>
      </c>
    </row>
    <row r="14">
      <c r="B14" s="18" t="s">
        <v>226</v>
      </c>
      <c r="C14" s="18" t="s">
        <v>229</v>
      </c>
      <c r="D14" s="18">
        <v>0.28523</v>
      </c>
      <c r="E14" s="18">
        <v>0.20489</v>
      </c>
      <c r="F14" s="19">
        <f t="shared" si="1"/>
        <v>0.08034</v>
      </c>
      <c r="G14" s="20">
        <f t="shared" si="2"/>
        <v>0.2816674263</v>
      </c>
    </row>
    <row r="15">
      <c r="B15" s="18" t="s">
        <v>226</v>
      </c>
      <c r="C15" s="18" t="s">
        <v>230</v>
      </c>
      <c r="D15" s="18">
        <v>0.28523</v>
      </c>
      <c r="E15" s="21">
        <f>5.05961*0.0036</f>
        <v>0.018214596</v>
      </c>
      <c r="F15" s="22">
        <f t="shared" si="1"/>
        <v>0.267015404</v>
      </c>
      <c r="G15" s="20">
        <f t="shared" si="2"/>
        <v>0.9361406724</v>
      </c>
    </row>
    <row r="16">
      <c r="B16" s="18" t="s">
        <v>226</v>
      </c>
      <c r="C16" s="18" t="s">
        <v>231</v>
      </c>
      <c r="D16" s="18">
        <v>0.28523</v>
      </c>
      <c r="E16" s="21">
        <f t="shared" ref="E16:E17" si="4">0.10625*0.0036</f>
        <v>0.0003825</v>
      </c>
      <c r="F16" s="22">
        <f t="shared" si="1"/>
        <v>0.2848475</v>
      </c>
      <c r="G16" s="20">
        <f t="shared" si="2"/>
        <v>0.998658977</v>
      </c>
    </row>
    <row r="17">
      <c r="B17" s="18" t="s">
        <v>226</v>
      </c>
      <c r="C17" s="18" t="s">
        <v>232</v>
      </c>
      <c r="D17" s="18">
        <v>0.28523</v>
      </c>
      <c r="E17" s="21">
        <f t="shared" si="4"/>
        <v>0.0003825</v>
      </c>
      <c r="F17" s="22">
        <f t="shared" si="1"/>
        <v>0.2848475</v>
      </c>
      <c r="G17" s="20">
        <f t="shared" si="2"/>
        <v>0.998658977</v>
      </c>
    </row>
    <row r="20">
      <c r="B20" s="23" t="s">
        <v>233</v>
      </c>
    </row>
    <row r="22">
      <c r="B22" s="18" t="s">
        <v>234</v>
      </c>
      <c r="C22" s="18">
        <v>162.0</v>
      </c>
      <c r="D22" s="24" t="s">
        <v>235</v>
      </c>
    </row>
    <row r="23">
      <c r="B23" s="18" t="s">
        <v>236</v>
      </c>
      <c r="C23" s="18">
        <v>3.4</v>
      </c>
      <c r="D23" s="25" t="s">
        <v>237</v>
      </c>
    </row>
    <row r="24">
      <c r="B24" s="18" t="s">
        <v>238</v>
      </c>
      <c r="C24" s="19">
        <f>C22*C23</f>
        <v>550.8</v>
      </c>
      <c r="D24" s="26"/>
    </row>
    <row r="25">
      <c r="B25" s="18" t="s">
        <v>239</v>
      </c>
      <c r="C25" s="18">
        <v>658.0</v>
      </c>
      <c r="D25" s="26"/>
    </row>
    <row r="26">
      <c r="B26" s="18" t="s">
        <v>240</v>
      </c>
      <c r="C26" s="18">
        <v>0.716</v>
      </c>
      <c r="D26" s="26"/>
    </row>
    <row r="27">
      <c r="B27" s="18" t="s">
        <v>238</v>
      </c>
      <c r="C27" s="19">
        <f>C25*C26</f>
        <v>471.128</v>
      </c>
      <c r="D27" s="26"/>
    </row>
    <row r="28">
      <c r="B28" s="18" t="s">
        <v>241</v>
      </c>
      <c r="C28" s="19">
        <f>C24-C27</f>
        <v>79.672</v>
      </c>
      <c r="D28" s="26"/>
    </row>
    <row r="29">
      <c r="B29" s="18" t="s">
        <v>224</v>
      </c>
      <c r="C29" s="20">
        <f>C28/C24</f>
        <v>0.144647785</v>
      </c>
      <c r="D29" s="27"/>
    </row>
  </sheetData>
  <mergeCells count="3">
    <mergeCell ref="B2:D2"/>
    <mergeCell ref="B20:D20"/>
    <mergeCell ref="D23:D29"/>
  </mergeCells>
  <hyperlinks>
    <hyperlink r:id="rId1" ref="D2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63"/>
    <col customWidth="1" min="4" max="4" width="22.13"/>
    <col customWidth="1" min="5" max="5" width="23.88"/>
    <col customWidth="1" min="6" max="6" width="37.88"/>
    <col customWidth="1" min="9" max="9" width="13.63"/>
    <col customWidth="1" min="10" max="10" width="11.13"/>
    <col customWidth="1" min="11" max="11" width="26.13"/>
    <col customWidth="1" min="12" max="12" width="19.63"/>
    <col customWidth="1" min="13" max="13" width="18.13"/>
    <col customWidth="1" min="14" max="14" width="22.38"/>
  </cols>
  <sheetData>
    <row r="1">
      <c r="J1" s="7"/>
    </row>
    <row r="2">
      <c r="J2" s="7"/>
    </row>
    <row r="3">
      <c r="J3" s="7"/>
    </row>
    <row r="4">
      <c r="H4" s="28" t="s">
        <v>242</v>
      </c>
      <c r="I4" s="29" t="s">
        <v>243</v>
      </c>
      <c r="J4" s="30"/>
      <c r="K4" s="17" t="s">
        <v>244</v>
      </c>
      <c r="L4" s="17" t="s">
        <v>245</v>
      </c>
      <c r="M4" s="17" t="s">
        <v>246</v>
      </c>
      <c r="N4" s="17" t="s">
        <v>247</v>
      </c>
    </row>
    <row r="5">
      <c r="C5" s="31" t="s">
        <v>248</v>
      </c>
      <c r="D5" s="31" t="s">
        <v>249</v>
      </c>
      <c r="E5" s="31" t="s">
        <v>250</v>
      </c>
      <c r="F5" s="31" t="s">
        <v>251</v>
      </c>
      <c r="H5" s="27"/>
      <c r="I5" s="17" t="s">
        <v>252</v>
      </c>
      <c r="J5" s="32" t="s">
        <v>253</v>
      </c>
      <c r="K5" s="18" t="s">
        <v>254</v>
      </c>
      <c r="L5" s="18" t="s">
        <v>255</v>
      </c>
      <c r="M5" s="18" t="s">
        <v>255</v>
      </c>
      <c r="N5" s="18" t="s">
        <v>254</v>
      </c>
    </row>
    <row r="6">
      <c r="C6" s="18" t="s">
        <v>256</v>
      </c>
      <c r="D6" s="18" t="s">
        <v>257</v>
      </c>
      <c r="E6" s="18" t="s">
        <v>258</v>
      </c>
      <c r="F6" s="18" t="s">
        <v>259</v>
      </c>
      <c r="H6" s="18"/>
      <c r="I6" s="33"/>
      <c r="J6" s="34"/>
      <c r="K6" s="18"/>
      <c r="L6" s="18"/>
      <c r="M6" s="18"/>
      <c r="N6" s="19"/>
    </row>
    <row r="7">
      <c r="C7" s="18" t="s">
        <v>260</v>
      </c>
      <c r="D7" s="18" t="s">
        <v>257</v>
      </c>
      <c r="E7" s="18" t="s">
        <v>261</v>
      </c>
      <c r="F7" s="18" t="s">
        <v>262</v>
      </c>
      <c r="H7" s="18" t="s">
        <v>263</v>
      </c>
      <c r="I7" s="33">
        <v>0.75</v>
      </c>
      <c r="J7" s="34">
        <v>0.85</v>
      </c>
      <c r="K7" s="18" t="s">
        <v>262</v>
      </c>
      <c r="L7" s="18">
        <v>3500.0</v>
      </c>
      <c r="M7" s="18">
        <v>4500.0</v>
      </c>
      <c r="N7" s="19"/>
    </row>
    <row r="8">
      <c r="C8" s="18" t="s">
        <v>264</v>
      </c>
      <c r="D8" s="18" t="s">
        <v>265</v>
      </c>
      <c r="E8" s="18">
        <v>0.37</v>
      </c>
      <c r="F8" s="18" t="s">
        <v>266</v>
      </c>
      <c r="H8" s="18" t="s">
        <v>267</v>
      </c>
      <c r="I8" s="33">
        <v>0.85</v>
      </c>
      <c r="J8" s="34">
        <v>0.89</v>
      </c>
      <c r="K8" s="18" t="s">
        <v>262</v>
      </c>
      <c r="L8" s="18">
        <v>4000.0</v>
      </c>
      <c r="M8" s="18">
        <v>5000.0</v>
      </c>
      <c r="N8" s="19"/>
    </row>
    <row r="9">
      <c r="C9" s="18" t="s">
        <v>268</v>
      </c>
      <c r="D9" s="18" t="s">
        <v>269</v>
      </c>
      <c r="E9" s="18" t="s">
        <v>267</v>
      </c>
      <c r="F9" s="18" t="s">
        <v>262</v>
      </c>
      <c r="H9" s="18" t="s">
        <v>270</v>
      </c>
      <c r="I9" s="33">
        <v>0.9</v>
      </c>
      <c r="J9" s="34">
        <v>0.94</v>
      </c>
      <c r="K9" s="18" t="s">
        <v>262</v>
      </c>
      <c r="L9" s="18">
        <v>4800.0</v>
      </c>
      <c r="M9" s="18">
        <v>6200.0</v>
      </c>
      <c r="N9" s="19"/>
    </row>
    <row r="10">
      <c r="C10" s="18" t="s">
        <v>271</v>
      </c>
      <c r="D10" s="18" t="s">
        <v>269</v>
      </c>
      <c r="E10" s="18" t="s">
        <v>270</v>
      </c>
      <c r="F10" s="18" t="s">
        <v>262</v>
      </c>
      <c r="H10" s="18" t="s">
        <v>272</v>
      </c>
      <c r="I10" s="33">
        <v>0.94</v>
      </c>
      <c r="J10" s="34">
        <v>0.96</v>
      </c>
      <c r="K10" s="18" t="s">
        <v>262</v>
      </c>
      <c r="L10" s="18">
        <v>6000.0</v>
      </c>
      <c r="M10" s="18">
        <v>8000.0</v>
      </c>
      <c r="N10" s="19"/>
    </row>
    <row r="11">
      <c r="C11" s="18" t="s">
        <v>273</v>
      </c>
      <c r="D11" s="18" t="s">
        <v>274</v>
      </c>
      <c r="E11" s="33">
        <v>0.8</v>
      </c>
      <c r="F11" s="18" t="s">
        <v>275</v>
      </c>
      <c r="H11" s="18" t="s">
        <v>276</v>
      </c>
      <c r="I11" s="33">
        <v>0.96</v>
      </c>
      <c r="J11" s="34">
        <v>0.97</v>
      </c>
      <c r="K11" s="18" t="s">
        <v>262</v>
      </c>
      <c r="L11" s="18">
        <v>9000.0</v>
      </c>
      <c r="M11" s="18">
        <v>12000.0</v>
      </c>
      <c r="N11" s="19"/>
    </row>
    <row r="12">
      <c r="C12" s="18" t="s">
        <v>277</v>
      </c>
      <c r="D12" s="18" t="s">
        <v>278</v>
      </c>
      <c r="E12" s="35">
        <v>8000.0</v>
      </c>
      <c r="F12" s="18" t="s">
        <v>262</v>
      </c>
      <c r="J12" s="7"/>
    </row>
    <row r="13">
      <c r="C13" s="18" t="s">
        <v>279</v>
      </c>
      <c r="D13" s="18" t="s">
        <v>280</v>
      </c>
      <c r="E13" s="18">
        <v>8.0</v>
      </c>
      <c r="F13" s="18" t="s">
        <v>262</v>
      </c>
      <c r="J13" s="7"/>
    </row>
    <row r="14">
      <c r="C14" s="18" t="s">
        <v>281</v>
      </c>
      <c r="D14" s="18" t="s">
        <v>282</v>
      </c>
      <c r="E14" s="18">
        <v>0.71</v>
      </c>
      <c r="F14" s="18" t="s">
        <v>283</v>
      </c>
      <c r="J14" s="7"/>
    </row>
    <row r="15">
      <c r="C15" s="18" t="s">
        <v>284</v>
      </c>
      <c r="D15" s="18" t="s">
        <v>285</v>
      </c>
      <c r="E15" s="18">
        <v>5.0</v>
      </c>
      <c r="F15" s="18" t="s">
        <v>262</v>
      </c>
      <c r="J15" s="7"/>
    </row>
    <row r="16">
      <c r="C16" s="18" t="s">
        <v>286</v>
      </c>
      <c r="D16" s="18" t="s">
        <v>287</v>
      </c>
      <c r="E16" s="18">
        <v>4000.0</v>
      </c>
      <c r="F16" s="18" t="s">
        <v>262</v>
      </c>
      <c r="J16" s="7"/>
    </row>
    <row r="17">
      <c r="C17" s="18" t="s">
        <v>288</v>
      </c>
      <c r="D17" s="18" t="s">
        <v>287</v>
      </c>
      <c r="E17" s="18">
        <v>4800.0</v>
      </c>
      <c r="F17" s="18" t="s">
        <v>289</v>
      </c>
      <c r="J17" s="7"/>
    </row>
    <row r="18">
      <c r="C18" s="18" t="s">
        <v>290</v>
      </c>
      <c r="D18" s="18" t="s">
        <v>291</v>
      </c>
      <c r="E18" s="18">
        <v>5.0</v>
      </c>
      <c r="F18" s="18" t="s">
        <v>262</v>
      </c>
      <c r="J18" s="7"/>
    </row>
    <row r="19">
      <c r="C19" s="18" t="s">
        <v>292</v>
      </c>
      <c r="D19" s="18" t="s">
        <v>291</v>
      </c>
      <c r="E19" s="18">
        <v>10.0</v>
      </c>
      <c r="F19" s="18" t="s">
        <v>293</v>
      </c>
      <c r="J19" s="7"/>
    </row>
    <row r="20">
      <c r="J20" s="7"/>
    </row>
    <row r="21">
      <c r="C21" s="3" t="s">
        <v>294</v>
      </c>
      <c r="J21" s="7"/>
    </row>
    <row r="22">
      <c r="C22" s="18" t="s">
        <v>295</v>
      </c>
      <c r="D22" s="18" t="s">
        <v>265</v>
      </c>
      <c r="E22" s="36">
        <v>0.37</v>
      </c>
      <c r="F22" s="1" t="s">
        <v>296</v>
      </c>
      <c r="J22" s="7"/>
    </row>
    <row r="23">
      <c r="C23" s="18" t="s">
        <v>297</v>
      </c>
      <c r="D23" s="18" t="s">
        <v>265</v>
      </c>
      <c r="E23" s="37">
        <f>E22/I8</f>
        <v>0.4352941176</v>
      </c>
      <c r="F23" s="1" t="s">
        <v>298</v>
      </c>
      <c r="G23" s="6">
        <f>5*0.746</f>
        <v>3.73</v>
      </c>
      <c r="J23" s="7"/>
    </row>
    <row r="24">
      <c r="C24" s="18" t="s">
        <v>299</v>
      </c>
      <c r="D24" s="18" t="s">
        <v>300</v>
      </c>
      <c r="E24" s="37">
        <f>E23*E12</f>
        <v>3482.352941</v>
      </c>
      <c r="J24" s="7"/>
    </row>
    <row r="25">
      <c r="C25" s="18" t="s">
        <v>301</v>
      </c>
      <c r="D25" s="18" t="s">
        <v>265</v>
      </c>
      <c r="E25" s="37">
        <f>E22/I11</f>
        <v>0.3854166667</v>
      </c>
      <c r="F25" s="1" t="s">
        <v>298</v>
      </c>
      <c r="J25" s="7"/>
    </row>
    <row r="26">
      <c r="C26" s="18" t="s">
        <v>302</v>
      </c>
      <c r="D26" s="18" t="s">
        <v>300</v>
      </c>
      <c r="E26" s="37">
        <f>E25*E12</f>
        <v>3083.333333</v>
      </c>
      <c r="J26" s="7"/>
    </row>
    <row r="27">
      <c r="C27" s="18" t="s">
        <v>303</v>
      </c>
      <c r="D27" s="18" t="s">
        <v>300</v>
      </c>
      <c r="E27" s="37">
        <f>E24-E26</f>
        <v>399.0196078</v>
      </c>
      <c r="J27" s="7"/>
    </row>
    <row r="28">
      <c r="C28" s="18" t="s">
        <v>304</v>
      </c>
      <c r="D28" s="18" t="s">
        <v>305</v>
      </c>
      <c r="E28" s="37">
        <f>E27*E14</f>
        <v>283.3039216</v>
      </c>
      <c r="F28" s="6">
        <f>E28*E19</f>
        <v>2833.039216</v>
      </c>
      <c r="J28" s="7"/>
    </row>
    <row r="29">
      <c r="C29" s="18" t="s">
        <v>306</v>
      </c>
      <c r="D29" s="18" t="s">
        <v>307</v>
      </c>
      <c r="E29" s="37">
        <f>E27*E13</f>
        <v>3192.156863</v>
      </c>
      <c r="J29" s="7"/>
    </row>
    <row r="30">
      <c r="C30" s="18" t="s">
        <v>308</v>
      </c>
      <c r="D30" s="18" t="s">
        <v>309</v>
      </c>
      <c r="E30" s="37">
        <f>E16*(1-8%)^E18</f>
        <v>2636.326093</v>
      </c>
      <c r="F30" s="1" t="s">
        <v>310</v>
      </c>
      <c r="J30" s="7"/>
    </row>
    <row r="31">
      <c r="C31" s="18" t="s">
        <v>311</v>
      </c>
      <c r="D31" s="18" t="s">
        <v>287</v>
      </c>
      <c r="E31" s="37">
        <f>E17-E30</f>
        <v>2163.673907</v>
      </c>
      <c r="F31" s="1" t="s">
        <v>312</v>
      </c>
      <c r="J31" s="7"/>
    </row>
    <row r="32">
      <c r="C32" s="18" t="s">
        <v>313</v>
      </c>
      <c r="D32" s="18" t="s">
        <v>309</v>
      </c>
      <c r="E32" s="37">
        <f>E29*(1-(1+8%)^-E19)/8%</f>
        <v>21419.63239</v>
      </c>
      <c r="J32" s="7"/>
    </row>
    <row r="33">
      <c r="C33" s="18" t="s">
        <v>314</v>
      </c>
      <c r="D33" s="18" t="s">
        <v>291</v>
      </c>
      <c r="E33" s="37">
        <f>E31/E29</f>
        <v>0.6778093935</v>
      </c>
      <c r="J33" s="7"/>
    </row>
    <row r="34">
      <c r="C34" s="1" t="s">
        <v>315</v>
      </c>
      <c r="D34" s="1" t="s">
        <v>316</v>
      </c>
      <c r="E34" s="6">
        <f>E28*(1-(1+8%)^-E19)/8%</f>
        <v>1900.992374</v>
      </c>
      <c r="J34" s="7"/>
    </row>
    <row r="35">
      <c r="C35" s="1" t="s">
        <v>317</v>
      </c>
      <c r="D35" s="1" t="s">
        <v>318</v>
      </c>
      <c r="E35" s="6">
        <f>(E31-E32)/E34</f>
        <v>-10.12942437</v>
      </c>
      <c r="F35" s="38" t="s">
        <v>319</v>
      </c>
      <c r="J35" s="7"/>
    </row>
    <row r="36">
      <c r="J36" s="7"/>
    </row>
    <row r="37">
      <c r="J37" s="7"/>
    </row>
    <row r="38">
      <c r="J38" s="7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</sheetData>
  <mergeCells count="2">
    <mergeCell ref="H4:H5"/>
    <mergeCell ref="I4:J4"/>
  </mergeCells>
  <dataValidations>
    <dataValidation type="list" allowBlank="1" showErrorMessage="1" sqref="E10">
      <formula1>"IE3,IE4,IE5"</formula1>
    </dataValidation>
    <dataValidation type="list" allowBlank="1" showErrorMessage="1" sqref="D8">
      <formula1>"HP,kW"</formula1>
    </dataValidation>
    <dataValidation type="list" allowBlank="1" showErrorMessage="1" sqref="E9">
      <formula1>"IE1,IE2"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  <col customWidth="1" min="3" max="3" width="28.38"/>
    <col customWidth="1" min="4" max="4" width="23.25"/>
    <col customWidth="1" min="5" max="5" width="19.88"/>
    <col customWidth="1" min="6" max="6" width="35.38"/>
    <col customWidth="1" min="8" max="8" width="28.13"/>
    <col customWidth="1" min="9" max="9" width="28.75"/>
    <col customWidth="1" min="10" max="10" width="26.38"/>
  </cols>
  <sheetData>
    <row r="1">
      <c r="E1" s="7"/>
    </row>
    <row r="2">
      <c r="B2" s="8" t="s">
        <v>320</v>
      </c>
      <c r="C2" s="8" t="s">
        <v>321</v>
      </c>
      <c r="D2" s="8" t="s">
        <v>322</v>
      </c>
      <c r="E2" s="39" t="s">
        <v>323</v>
      </c>
      <c r="F2" s="8" t="s">
        <v>251</v>
      </c>
      <c r="H2" s="8"/>
      <c r="I2" s="8"/>
      <c r="J2" s="5"/>
    </row>
    <row r="3">
      <c r="B3" s="1" t="s">
        <v>324</v>
      </c>
      <c r="C3" s="1" t="s">
        <v>325</v>
      </c>
      <c r="D3" s="1" t="s">
        <v>326</v>
      </c>
      <c r="E3" s="40">
        <v>0.65</v>
      </c>
      <c r="F3" s="1" t="s">
        <v>327</v>
      </c>
    </row>
    <row r="4">
      <c r="B4" s="1" t="s">
        <v>328</v>
      </c>
      <c r="C4" s="1" t="s">
        <v>329</v>
      </c>
      <c r="D4" s="1" t="s">
        <v>330</v>
      </c>
      <c r="E4" s="40">
        <v>0.7</v>
      </c>
      <c r="F4" s="1" t="s">
        <v>331</v>
      </c>
    </row>
    <row r="5">
      <c r="B5" s="1" t="s">
        <v>332</v>
      </c>
      <c r="C5" s="1" t="s">
        <v>333</v>
      </c>
      <c r="D5" s="1" t="s">
        <v>334</v>
      </c>
      <c r="E5" s="40">
        <v>0.8</v>
      </c>
      <c r="F5" s="1" t="s">
        <v>335</v>
      </c>
    </row>
    <row r="6">
      <c r="B6" s="1" t="s">
        <v>336</v>
      </c>
      <c r="C6" s="1" t="s">
        <v>337</v>
      </c>
      <c r="D6" s="1" t="s">
        <v>334</v>
      </c>
      <c r="E6" s="40">
        <v>0.8</v>
      </c>
      <c r="F6" s="1" t="s">
        <v>338</v>
      </c>
    </row>
    <row r="7">
      <c r="B7" s="1" t="s">
        <v>339</v>
      </c>
      <c r="C7" s="1" t="s">
        <v>340</v>
      </c>
      <c r="D7" s="1" t="s">
        <v>330</v>
      </c>
      <c r="E7" s="40">
        <v>0.7</v>
      </c>
      <c r="F7" s="1" t="s">
        <v>341</v>
      </c>
    </row>
    <row r="8">
      <c r="B8" s="1" t="s">
        <v>342</v>
      </c>
      <c r="C8" s="1" t="s">
        <v>343</v>
      </c>
      <c r="D8" s="1" t="s">
        <v>326</v>
      </c>
      <c r="E8" s="40">
        <v>0.65</v>
      </c>
      <c r="F8" s="1" t="s">
        <v>344</v>
      </c>
      <c r="H8" s="8" t="s">
        <v>345</v>
      </c>
      <c r="I8" s="8" t="s">
        <v>346</v>
      </c>
    </row>
    <row r="9">
      <c r="E9" s="7"/>
      <c r="H9" s="1" t="s">
        <v>347</v>
      </c>
      <c r="I9" s="1" t="s">
        <v>348</v>
      </c>
    </row>
    <row r="10">
      <c r="E10" s="7"/>
      <c r="H10" s="1" t="s">
        <v>349</v>
      </c>
      <c r="I10" s="1" t="s">
        <v>350</v>
      </c>
    </row>
    <row r="11">
      <c r="B11" s="8" t="s">
        <v>351</v>
      </c>
      <c r="C11" s="8" t="s">
        <v>352</v>
      </c>
      <c r="E11" s="7"/>
      <c r="H11" s="1" t="s">
        <v>353</v>
      </c>
      <c r="I11" s="1" t="s">
        <v>354</v>
      </c>
    </row>
    <row r="12">
      <c r="B12" s="31" t="s">
        <v>355</v>
      </c>
      <c r="C12" s="31" t="s">
        <v>249</v>
      </c>
      <c r="D12" s="31" t="s">
        <v>250</v>
      </c>
      <c r="E12" s="41" t="s">
        <v>251</v>
      </c>
    </row>
    <row r="13">
      <c r="B13" s="18" t="s">
        <v>356</v>
      </c>
      <c r="C13" s="18" t="s">
        <v>269</v>
      </c>
      <c r="D13" s="18" t="s">
        <v>258</v>
      </c>
      <c r="E13" s="42" t="s">
        <v>357</v>
      </c>
    </row>
    <row r="14">
      <c r="B14" s="18" t="s">
        <v>358</v>
      </c>
      <c r="C14" s="18" t="s">
        <v>265</v>
      </c>
      <c r="D14" s="18">
        <v>2.2</v>
      </c>
      <c r="E14" s="42" t="s">
        <v>266</v>
      </c>
    </row>
    <row r="15">
      <c r="B15" s="18" t="s">
        <v>359</v>
      </c>
      <c r="C15" s="18" t="s">
        <v>269</v>
      </c>
      <c r="D15" s="18" t="s">
        <v>360</v>
      </c>
      <c r="E15" s="42" t="s">
        <v>262</v>
      </c>
    </row>
    <row r="16">
      <c r="B16" s="18" t="s">
        <v>361</v>
      </c>
      <c r="C16" s="18" t="s">
        <v>291</v>
      </c>
      <c r="D16" s="18">
        <v>4.0</v>
      </c>
      <c r="E16" s="42" t="s">
        <v>262</v>
      </c>
    </row>
    <row r="17">
      <c r="B17" s="18" t="s">
        <v>362</v>
      </c>
      <c r="C17" s="18" t="s">
        <v>269</v>
      </c>
      <c r="D17" s="18" t="s">
        <v>332</v>
      </c>
      <c r="E17" s="42" t="s">
        <v>262</v>
      </c>
    </row>
    <row r="18">
      <c r="B18" s="18" t="s">
        <v>363</v>
      </c>
      <c r="C18" s="18" t="s">
        <v>265</v>
      </c>
      <c r="D18" s="43">
        <v>2.2</v>
      </c>
      <c r="E18" s="42"/>
    </row>
    <row r="19">
      <c r="B19" s="18" t="s">
        <v>364</v>
      </c>
      <c r="C19" s="18" t="s">
        <v>291</v>
      </c>
      <c r="D19" s="43">
        <v>10.0</v>
      </c>
      <c r="E19" s="42" t="s">
        <v>365</v>
      </c>
    </row>
    <row r="20">
      <c r="B20" s="18" t="s">
        <v>273</v>
      </c>
      <c r="C20" s="18" t="s">
        <v>274</v>
      </c>
      <c r="D20" s="33">
        <v>0.8</v>
      </c>
      <c r="E20" s="42" t="s">
        <v>275</v>
      </c>
    </row>
    <row r="21">
      <c r="B21" s="18" t="s">
        <v>277</v>
      </c>
      <c r="C21" s="18" t="s">
        <v>278</v>
      </c>
      <c r="D21" s="35">
        <v>8000.0</v>
      </c>
      <c r="E21" s="42" t="s">
        <v>262</v>
      </c>
    </row>
    <row r="22">
      <c r="B22" s="18" t="s">
        <v>279</v>
      </c>
      <c r="C22" s="18" t="s">
        <v>280</v>
      </c>
      <c r="D22" s="18">
        <v>8.0</v>
      </c>
      <c r="E22" s="42" t="s">
        <v>262</v>
      </c>
    </row>
    <row r="23">
      <c r="B23" s="18" t="s">
        <v>281</v>
      </c>
      <c r="C23" s="18" t="s">
        <v>366</v>
      </c>
      <c r="D23" s="18">
        <v>0.716</v>
      </c>
      <c r="E23" s="42" t="s">
        <v>283</v>
      </c>
    </row>
    <row r="24">
      <c r="B24" s="18" t="s">
        <v>367</v>
      </c>
      <c r="C24" s="18" t="s">
        <v>368</v>
      </c>
      <c r="D24" s="18">
        <v>2400.0</v>
      </c>
      <c r="E24" s="42" t="s">
        <v>262</v>
      </c>
      <c r="F24" s="6">
        <f>D14*D20*D21</f>
        <v>14080</v>
      </c>
    </row>
    <row r="25">
      <c r="B25" s="18" t="s">
        <v>369</v>
      </c>
      <c r="C25" s="18" t="s">
        <v>309</v>
      </c>
      <c r="D25" s="18">
        <v>35200.0</v>
      </c>
      <c r="E25" s="42" t="s">
        <v>357</v>
      </c>
      <c r="F25" s="6">
        <f>F24*D22</f>
        <v>112640</v>
      </c>
    </row>
    <row r="26">
      <c r="B26" s="18" t="s">
        <v>370</v>
      </c>
      <c r="C26" s="18" t="s">
        <v>371</v>
      </c>
      <c r="D26" s="33">
        <v>0.08</v>
      </c>
      <c r="E26" s="42" t="s">
        <v>372</v>
      </c>
    </row>
    <row r="27">
      <c r="E27" s="7"/>
    </row>
    <row r="28">
      <c r="B28" s="18" t="s">
        <v>373</v>
      </c>
      <c r="C28" s="18" t="s">
        <v>300</v>
      </c>
      <c r="D28" s="19">
        <f>(D14*D21*D20)/E3</f>
        <v>21661.53846</v>
      </c>
      <c r="E28" s="5" t="s">
        <v>374</v>
      </c>
      <c r="F28" s="38" t="s">
        <v>375</v>
      </c>
    </row>
    <row r="29">
      <c r="B29" s="18" t="s">
        <v>376</v>
      </c>
      <c r="C29" s="18" t="s">
        <v>300</v>
      </c>
      <c r="D29" s="19">
        <f>(D18*D20*D21)/E5</f>
        <v>17600</v>
      </c>
      <c r="E29" s="7"/>
    </row>
    <row r="30">
      <c r="B30" s="18" t="s">
        <v>303</v>
      </c>
      <c r="C30" s="18" t="s">
        <v>300</v>
      </c>
      <c r="D30" s="19">
        <f>D28-D29</f>
        <v>4061.538462</v>
      </c>
      <c r="E30" s="7"/>
    </row>
    <row r="31">
      <c r="B31" s="18" t="s">
        <v>306</v>
      </c>
      <c r="C31" s="18" t="s">
        <v>309</v>
      </c>
      <c r="D31" s="19">
        <f>D30*D22</f>
        <v>32492.30769</v>
      </c>
      <c r="E31" s="7"/>
    </row>
    <row r="32">
      <c r="B32" s="18" t="s">
        <v>377</v>
      </c>
      <c r="C32" s="18" t="s">
        <v>316</v>
      </c>
      <c r="D32" s="19">
        <f>D30*D23</f>
        <v>2908.061538</v>
      </c>
      <c r="E32" s="7"/>
    </row>
    <row r="33">
      <c r="B33" s="18" t="s">
        <v>378</v>
      </c>
      <c r="C33" s="18" t="s">
        <v>309</v>
      </c>
      <c r="D33" s="37">
        <f>D25*(1-8%)^D16</f>
        <v>25217.03219</v>
      </c>
      <c r="E33" s="7"/>
    </row>
    <row r="34">
      <c r="B34" s="18" t="s">
        <v>379</v>
      </c>
      <c r="C34" s="18" t="s">
        <v>309</v>
      </c>
      <c r="D34" s="18">
        <v>352000.0</v>
      </c>
      <c r="E34" s="7"/>
    </row>
    <row r="35">
      <c r="B35" s="18" t="s">
        <v>380</v>
      </c>
      <c r="C35" s="18" t="s">
        <v>309</v>
      </c>
      <c r="D35" s="37">
        <f>D34-D33</f>
        <v>326782.9678</v>
      </c>
      <c r="E35" s="7"/>
    </row>
    <row r="36">
      <c r="B36" s="18" t="s">
        <v>381</v>
      </c>
      <c r="C36" s="18" t="s">
        <v>309</v>
      </c>
      <c r="D36" s="37">
        <f>D31*(1-(1+D26)^-D19)/D26</f>
        <v>218026.0295</v>
      </c>
      <c r="E36" s="7"/>
    </row>
    <row r="37">
      <c r="B37" s="18" t="s">
        <v>382</v>
      </c>
      <c r="C37" s="18" t="s">
        <v>316</v>
      </c>
      <c r="D37" s="37">
        <f>D32*((1-(1+D26)^-D19)/D26)</f>
        <v>19513.32964</v>
      </c>
      <c r="E37" s="7"/>
    </row>
    <row r="38">
      <c r="B38" s="18" t="s">
        <v>314</v>
      </c>
      <c r="C38" s="18" t="s">
        <v>291</v>
      </c>
      <c r="D38" s="37">
        <f>D35/D31</f>
        <v>10.05724096</v>
      </c>
      <c r="E38" s="7"/>
    </row>
    <row r="39">
      <c r="B39" s="44" t="s">
        <v>383</v>
      </c>
      <c r="C39" s="45" t="s">
        <v>318</v>
      </c>
      <c r="D39" s="46">
        <f>(D35-D36)/D37</f>
        <v>5.573469028</v>
      </c>
      <c r="E39" s="5" t="s">
        <v>384</v>
      </c>
    </row>
    <row r="40">
      <c r="B40" s="44" t="s">
        <v>385</v>
      </c>
      <c r="C40" s="42" t="s">
        <v>386</v>
      </c>
      <c r="D40" s="19"/>
      <c r="E40" s="7"/>
    </row>
    <row r="41">
      <c r="C41" s="47"/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ataValidations>
    <dataValidation type="list" allowBlank="1" showErrorMessage="1" sqref="C14 C18">
      <formula1>"HP,kW"</formula1>
    </dataValidation>
    <dataValidation type="list" allowBlank="1" showErrorMessage="1" sqref="D15 D17">
      <formula1>"Reciprocating (Piston),Fixed speed (Rotary screw),Variable Speed Drive (Rotary Screw),Centrifugal,Scroll compressor,Oil-free screw compressor"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75"/>
    <col customWidth="1" min="3" max="3" width="28.38"/>
    <col customWidth="1" min="4" max="4" width="23.25"/>
    <col customWidth="1" min="5" max="5" width="21.13"/>
    <col customWidth="1" min="6" max="6" width="24.75"/>
    <col customWidth="1" min="7" max="7" width="26.38"/>
    <col customWidth="1" min="8" max="8" width="28.13"/>
    <col customWidth="1" min="9" max="9" width="28.75"/>
    <col customWidth="1" min="10" max="10" width="26.38"/>
  </cols>
  <sheetData>
    <row r="1">
      <c r="E1" s="7"/>
      <c r="H1" s="8" t="s">
        <v>387</v>
      </c>
      <c r="I1" s="48" t="s">
        <v>388</v>
      </c>
    </row>
    <row r="2">
      <c r="B2" s="8"/>
      <c r="C2" s="8"/>
      <c r="D2" s="8"/>
      <c r="E2" s="39"/>
      <c r="F2" s="8"/>
      <c r="H2" s="8"/>
      <c r="I2" s="8"/>
      <c r="J2" s="5"/>
    </row>
    <row r="3">
      <c r="A3" s="5" t="s">
        <v>389</v>
      </c>
      <c r="B3" s="31" t="s">
        <v>390</v>
      </c>
      <c r="C3" s="31" t="s">
        <v>391</v>
      </c>
      <c r="D3" s="41" t="s">
        <v>392</v>
      </c>
      <c r="E3" s="49" t="s">
        <v>393</v>
      </c>
      <c r="F3" s="41" t="s">
        <v>394</v>
      </c>
      <c r="G3" s="32" t="s">
        <v>395</v>
      </c>
      <c r="H3" s="17" t="s">
        <v>396</v>
      </c>
      <c r="I3" s="32" t="s">
        <v>397</v>
      </c>
      <c r="J3" s="5"/>
    </row>
    <row r="4">
      <c r="A4" s="1" t="s">
        <v>398</v>
      </c>
      <c r="B4" s="18" t="s">
        <v>399</v>
      </c>
      <c r="C4" s="50">
        <v>3.1</v>
      </c>
      <c r="D4" s="18" t="s">
        <v>400</v>
      </c>
      <c r="E4" s="51">
        <v>3.1</v>
      </c>
      <c r="F4" s="18">
        <v>2.7</v>
      </c>
      <c r="G4" s="18">
        <v>2.9</v>
      </c>
      <c r="H4" s="18">
        <v>3.1</v>
      </c>
      <c r="I4" s="18">
        <v>2.9</v>
      </c>
    </row>
    <row r="5">
      <c r="A5" s="1" t="s">
        <v>401</v>
      </c>
      <c r="B5" s="18" t="s">
        <v>402</v>
      </c>
      <c r="C5" s="50" t="s">
        <v>403</v>
      </c>
      <c r="D5" s="18" t="s">
        <v>404</v>
      </c>
      <c r="E5" s="51">
        <v>3.3</v>
      </c>
      <c r="F5" s="18">
        <v>2.8</v>
      </c>
      <c r="G5" s="18">
        <v>3.0</v>
      </c>
      <c r="H5" s="18">
        <v>3.2</v>
      </c>
      <c r="I5" s="18">
        <v>3.0</v>
      </c>
    </row>
    <row r="6">
      <c r="A6" s="1" t="s">
        <v>405</v>
      </c>
      <c r="B6" s="18" t="s">
        <v>406</v>
      </c>
      <c r="C6" s="50">
        <v>3.9</v>
      </c>
      <c r="D6" s="18" t="s">
        <v>407</v>
      </c>
      <c r="E6" s="51">
        <v>3.9</v>
      </c>
      <c r="F6" s="18">
        <v>3.2</v>
      </c>
      <c r="G6" s="18">
        <v>3.6</v>
      </c>
      <c r="H6" s="18">
        <v>3.6</v>
      </c>
      <c r="I6" s="18">
        <v>3.6</v>
      </c>
    </row>
    <row r="7">
      <c r="A7" s="1" t="s">
        <v>408</v>
      </c>
      <c r="B7" s="18" t="s">
        <v>409</v>
      </c>
      <c r="C7" s="50">
        <v>4.5</v>
      </c>
      <c r="D7" s="18" t="s">
        <v>410</v>
      </c>
      <c r="E7" s="51">
        <v>4.5</v>
      </c>
      <c r="F7" s="18">
        <v>3.6</v>
      </c>
      <c r="G7" s="18">
        <v>4.0</v>
      </c>
      <c r="H7" s="18">
        <v>4.0</v>
      </c>
      <c r="I7" s="18">
        <v>4.0</v>
      </c>
    </row>
    <row r="8">
      <c r="A8" s="1" t="s">
        <v>411</v>
      </c>
      <c r="B8" s="18" t="s">
        <v>412</v>
      </c>
      <c r="C8" s="50" t="s">
        <v>413</v>
      </c>
      <c r="D8" s="18" t="s">
        <v>414</v>
      </c>
      <c r="E8" s="51">
        <v>5.2</v>
      </c>
      <c r="F8" s="18">
        <v>4.1</v>
      </c>
      <c r="G8" s="18">
        <v>4.6</v>
      </c>
      <c r="H8" s="18">
        <v>4.6</v>
      </c>
      <c r="I8" s="18">
        <v>4.6</v>
      </c>
    </row>
    <row r="9">
      <c r="E9" s="40"/>
      <c r="H9" s="8"/>
      <c r="I9" s="8"/>
    </row>
    <row r="10">
      <c r="E10" s="7"/>
    </row>
    <row r="11">
      <c r="E11" s="7"/>
    </row>
    <row r="12">
      <c r="B12" s="8"/>
      <c r="C12" s="8"/>
      <c r="E12" s="7"/>
    </row>
    <row r="13">
      <c r="B13" s="31" t="s">
        <v>355</v>
      </c>
      <c r="C13" s="31" t="s">
        <v>249</v>
      </c>
      <c r="D13" s="31" t="s">
        <v>415</v>
      </c>
      <c r="E13" s="41" t="s">
        <v>251</v>
      </c>
    </row>
    <row r="14">
      <c r="B14" s="18" t="s">
        <v>416</v>
      </c>
      <c r="C14" s="18" t="s">
        <v>269</v>
      </c>
      <c r="D14" s="18" t="s">
        <v>258</v>
      </c>
      <c r="E14" s="42" t="s">
        <v>262</v>
      </c>
    </row>
    <row r="15">
      <c r="B15" s="18" t="s">
        <v>417</v>
      </c>
      <c r="C15" s="18" t="s">
        <v>418</v>
      </c>
      <c r="D15" s="18">
        <v>1.5</v>
      </c>
      <c r="E15" s="42" t="s">
        <v>419</v>
      </c>
    </row>
    <row r="16">
      <c r="B16" s="18" t="s">
        <v>420</v>
      </c>
      <c r="C16" s="18" t="s">
        <v>269</v>
      </c>
      <c r="D16" s="18" t="s">
        <v>421</v>
      </c>
      <c r="E16" s="42" t="s">
        <v>262</v>
      </c>
    </row>
    <row r="17">
      <c r="B17" s="18" t="s">
        <v>422</v>
      </c>
      <c r="C17" s="18" t="s">
        <v>291</v>
      </c>
      <c r="D17" s="18">
        <v>6.0</v>
      </c>
      <c r="E17" s="42" t="s">
        <v>262</v>
      </c>
    </row>
    <row r="18">
      <c r="B18" s="18" t="s">
        <v>423</v>
      </c>
      <c r="C18" s="18" t="s">
        <v>424</v>
      </c>
      <c r="D18" s="18" t="s">
        <v>425</v>
      </c>
      <c r="E18" s="42" t="s">
        <v>262</v>
      </c>
    </row>
    <row r="19" ht="40.5" customHeight="1">
      <c r="B19" s="44" t="s">
        <v>426</v>
      </c>
      <c r="C19" s="44" t="s">
        <v>427</v>
      </c>
      <c r="D19" s="44">
        <f>8*300</f>
        <v>2400</v>
      </c>
      <c r="E19" s="45" t="s">
        <v>428</v>
      </c>
      <c r="F19" s="52"/>
    </row>
    <row r="20">
      <c r="B20" s="18" t="s">
        <v>429</v>
      </c>
      <c r="C20" s="18" t="s">
        <v>269</v>
      </c>
      <c r="D20" s="18" t="s">
        <v>430</v>
      </c>
      <c r="E20" s="42" t="s">
        <v>262</v>
      </c>
    </row>
    <row r="21">
      <c r="B21" s="18" t="s">
        <v>431</v>
      </c>
      <c r="C21" s="18" t="s">
        <v>418</v>
      </c>
      <c r="D21" s="43">
        <v>1.5</v>
      </c>
      <c r="E21" s="42" t="s">
        <v>262</v>
      </c>
    </row>
    <row r="22">
      <c r="B22" s="18" t="s">
        <v>432</v>
      </c>
      <c r="C22" s="18" t="s">
        <v>424</v>
      </c>
      <c r="D22" s="18" t="s">
        <v>433</v>
      </c>
      <c r="E22" s="42" t="s">
        <v>262</v>
      </c>
    </row>
    <row r="23">
      <c r="B23" s="18" t="s">
        <v>434</v>
      </c>
      <c r="C23" s="18" t="s">
        <v>291</v>
      </c>
      <c r="D23" s="43">
        <v>15.0</v>
      </c>
      <c r="E23" s="42" t="s">
        <v>435</v>
      </c>
    </row>
    <row r="24">
      <c r="B24" s="18" t="s">
        <v>273</v>
      </c>
      <c r="C24" s="18" t="s">
        <v>274</v>
      </c>
      <c r="D24" s="33">
        <v>0.8</v>
      </c>
      <c r="E24" s="42" t="s">
        <v>275</v>
      </c>
    </row>
    <row r="25">
      <c r="B25" s="18" t="s">
        <v>277</v>
      </c>
      <c r="C25" s="18" t="s">
        <v>278</v>
      </c>
      <c r="D25" s="18">
        <v>8000.0</v>
      </c>
      <c r="E25" s="42" t="s">
        <v>262</v>
      </c>
    </row>
    <row r="26">
      <c r="B26" s="18" t="s">
        <v>279</v>
      </c>
      <c r="C26" s="18" t="s">
        <v>280</v>
      </c>
      <c r="D26" s="18">
        <v>8.0</v>
      </c>
      <c r="E26" s="42" t="s">
        <v>262</v>
      </c>
    </row>
    <row r="27">
      <c r="B27" s="18" t="s">
        <v>281</v>
      </c>
      <c r="C27" s="18" t="s">
        <v>366</v>
      </c>
      <c r="D27" s="18">
        <v>0.71</v>
      </c>
      <c r="E27" s="42" t="s">
        <v>283</v>
      </c>
    </row>
    <row r="28">
      <c r="B28" s="18" t="s">
        <v>436</v>
      </c>
      <c r="C28" s="18" t="s">
        <v>309</v>
      </c>
      <c r="D28" s="18">
        <v>29000.0</v>
      </c>
      <c r="E28" s="42" t="s">
        <v>262</v>
      </c>
    </row>
    <row r="29">
      <c r="B29" s="18" t="s">
        <v>437</v>
      </c>
      <c r="C29" s="18" t="s">
        <v>309</v>
      </c>
      <c r="D29" s="18">
        <v>42000.0</v>
      </c>
      <c r="E29" s="42" t="s">
        <v>262</v>
      </c>
    </row>
    <row r="30">
      <c r="B30" s="18" t="s">
        <v>370</v>
      </c>
      <c r="C30" s="18" t="s">
        <v>371</v>
      </c>
      <c r="D30" s="33">
        <v>0.08</v>
      </c>
      <c r="E30" s="42" t="s">
        <v>372</v>
      </c>
    </row>
    <row r="31">
      <c r="E31" s="7"/>
    </row>
    <row r="32">
      <c r="B32" s="18" t="s">
        <v>438</v>
      </c>
      <c r="C32" s="18" t="s">
        <v>300</v>
      </c>
      <c r="D32" s="37">
        <f>D15*D19*3.517</f>
        <v>12661.2</v>
      </c>
      <c r="E32" s="5" t="s">
        <v>439</v>
      </c>
      <c r="F32" s="1" t="s">
        <v>440</v>
      </c>
    </row>
    <row r="33">
      <c r="B33" s="18" t="s">
        <v>441</v>
      </c>
      <c r="C33" s="18" t="s">
        <v>300</v>
      </c>
      <c r="D33" s="37">
        <f>D32/E5</f>
        <v>3836.727273</v>
      </c>
      <c r="E33" s="5" t="s">
        <v>442</v>
      </c>
    </row>
    <row r="34">
      <c r="B34" s="18" t="s">
        <v>443</v>
      </c>
      <c r="C34" s="18" t="s">
        <v>300</v>
      </c>
      <c r="D34" s="37">
        <f>D32/E7</f>
        <v>2813.6</v>
      </c>
      <c r="E34" s="7"/>
    </row>
    <row r="35">
      <c r="B35" s="18" t="s">
        <v>303</v>
      </c>
      <c r="C35" s="18" t="s">
        <v>300</v>
      </c>
      <c r="D35" s="37">
        <f>D33-D34</f>
        <v>1023.127273</v>
      </c>
      <c r="E35" s="7"/>
    </row>
    <row r="36">
      <c r="B36" s="18" t="s">
        <v>306</v>
      </c>
      <c r="C36" s="18" t="s">
        <v>309</v>
      </c>
      <c r="D36" s="37">
        <f>D35*D26</f>
        <v>8185.018182</v>
      </c>
      <c r="E36" s="7"/>
    </row>
    <row r="37">
      <c r="B37" s="18" t="s">
        <v>377</v>
      </c>
      <c r="C37" s="18" t="s">
        <v>316</v>
      </c>
      <c r="D37" s="37">
        <f>D35*D27</f>
        <v>726.4203636</v>
      </c>
      <c r="E37" s="7"/>
    </row>
    <row r="38">
      <c r="B38" s="18" t="s">
        <v>444</v>
      </c>
      <c r="C38" s="18" t="s">
        <v>309</v>
      </c>
      <c r="D38" s="37">
        <f>D28*(1-8%)^D17</f>
        <v>17584.29504</v>
      </c>
      <c r="E38" s="7"/>
    </row>
    <row r="39">
      <c r="B39" s="18" t="s">
        <v>445</v>
      </c>
      <c r="C39" s="18" t="s">
        <v>309</v>
      </c>
      <c r="D39" s="37">
        <f>D29-D38</f>
        <v>24415.70496</v>
      </c>
      <c r="E39" s="7"/>
    </row>
    <row r="40">
      <c r="B40" s="18" t="s">
        <v>446</v>
      </c>
      <c r="C40" s="18" t="s">
        <v>309</v>
      </c>
      <c r="D40" s="37">
        <f>D36*(1-(1+D30)^-D23)/D30</f>
        <v>70059.48869</v>
      </c>
      <c r="E40" s="7"/>
    </row>
    <row r="41">
      <c r="B41" s="18" t="s">
        <v>447</v>
      </c>
      <c r="C41" s="18" t="s">
        <v>316</v>
      </c>
      <c r="D41" s="37">
        <f>D37*(1-(1+D30)^-D23)/D30</f>
        <v>6217.779621</v>
      </c>
      <c r="E41" s="7"/>
    </row>
    <row r="42">
      <c r="B42" s="18" t="s">
        <v>314</v>
      </c>
      <c r="C42" s="18" t="s">
        <v>291</v>
      </c>
      <c r="D42" s="37">
        <f>D39/D36</f>
        <v>2.982975043</v>
      </c>
      <c r="E42" s="7"/>
    </row>
    <row r="43">
      <c r="B43" s="44" t="s">
        <v>448</v>
      </c>
      <c r="C43" s="45" t="s">
        <v>318</v>
      </c>
      <c r="D43" s="46">
        <f>(D39-D40)/D41</f>
        <v>-7.340849388</v>
      </c>
      <c r="E43" s="5"/>
    </row>
    <row r="44">
      <c r="B44" s="44" t="s">
        <v>385</v>
      </c>
      <c r="C44" s="42" t="s">
        <v>449</v>
      </c>
      <c r="D44" s="19"/>
      <c r="E44" s="7"/>
    </row>
    <row r="45">
      <c r="C45" s="47"/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</sheetData>
  <dataValidations>
    <dataValidation type="list" allowBlank="1" showErrorMessage="1" sqref="D16 D20">
      <formula1>"Window,Split - Fixed speed,Casette type,Standing tower,Corner/Floor mounted AC,Split - Invertor"</formula1>
    </dataValidation>
    <dataValidation type="list" allowBlank="1" showErrorMessage="1" sqref="D18 D22">
      <formula1>"1-star,2-star,3-star,4-star,5-star"</formula1>
    </dataValidation>
    <dataValidation type="list" allowBlank="1" showErrorMessage="1" sqref="C15 C21">
      <formula1>"TR,kW"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36.88"/>
    <col customWidth="1" min="4" max="4" width="34.63"/>
    <col customWidth="1" min="5" max="5" width="39.5"/>
    <col customWidth="1" min="6" max="6" width="28.88"/>
  </cols>
  <sheetData>
    <row r="2">
      <c r="B2" s="53" t="s">
        <v>450</v>
      </c>
    </row>
    <row r="3">
      <c r="B3" s="18" t="s">
        <v>451</v>
      </c>
      <c r="C3" s="19"/>
      <c r="D3" s="1" t="s">
        <v>262</v>
      </c>
    </row>
    <row r="4">
      <c r="B4" s="18" t="s">
        <v>452</v>
      </c>
      <c r="C4" s="18">
        <v>74.0</v>
      </c>
      <c r="D4" s="1" t="s">
        <v>262</v>
      </c>
    </row>
    <row r="5">
      <c r="B5" s="18" t="s">
        <v>453</v>
      </c>
      <c r="C5" s="54">
        <f>C4/1000</f>
        <v>0.074</v>
      </c>
    </row>
    <row r="6">
      <c r="B6" s="18" t="s">
        <v>454</v>
      </c>
      <c r="C6" s="18">
        <v>12.0</v>
      </c>
      <c r="D6" s="1" t="s">
        <v>262</v>
      </c>
      <c r="E6" s="55"/>
      <c r="F6" s="55"/>
      <c r="G6" s="56"/>
    </row>
    <row r="7">
      <c r="B7" s="18" t="s">
        <v>455</v>
      </c>
      <c r="C7" s="18">
        <v>250.0</v>
      </c>
      <c r="D7" s="1" t="s">
        <v>262</v>
      </c>
      <c r="E7" s="55"/>
      <c r="F7" s="55"/>
      <c r="G7" s="56"/>
    </row>
    <row r="8">
      <c r="B8" s="18" t="s">
        <v>456</v>
      </c>
      <c r="C8" s="57">
        <f>C6*C7</f>
        <v>3000</v>
      </c>
      <c r="E8" s="55"/>
      <c r="F8" s="58"/>
      <c r="G8" s="56"/>
    </row>
    <row r="9">
      <c r="B9" s="18" t="s">
        <v>457</v>
      </c>
      <c r="C9" s="59">
        <f>C5*C8</f>
        <v>222</v>
      </c>
      <c r="E9" s="55"/>
      <c r="F9" s="60"/>
      <c r="G9" s="56"/>
    </row>
    <row r="10">
      <c r="B10" s="18" t="s">
        <v>458</v>
      </c>
      <c r="C10" s="18">
        <v>8.0</v>
      </c>
      <c r="D10" s="1" t="s">
        <v>262</v>
      </c>
      <c r="E10" s="55"/>
      <c r="F10" s="55"/>
      <c r="G10" s="56"/>
    </row>
    <row r="11">
      <c r="B11" s="18" t="s">
        <v>459</v>
      </c>
      <c r="C11" s="61">
        <f>C9*C10</f>
        <v>1776</v>
      </c>
      <c r="E11" s="55"/>
      <c r="F11" s="58"/>
      <c r="G11" s="56"/>
    </row>
    <row r="12">
      <c r="B12" s="18" t="s">
        <v>460</v>
      </c>
      <c r="C12" s="18">
        <v>0.716</v>
      </c>
      <c r="D12" s="1" t="s">
        <v>461</v>
      </c>
      <c r="E12" s="55"/>
      <c r="F12" s="55"/>
      <c r="G12" s="56"/>
    </row>
    <row r="13">
      <c r="B13" s="18" t="s">
        <v>462</v>
      </c>
      <c r="C13" s="54">
        <f>C9*C12</f>
        <v>158.952</v>
      </c>
      <c r="E13" s="55"/>
      <c r="F13" s="60"/>
      <c r="G13" s="56"/>
    </row>
    <row r="15">
      <c r="B15" s="18" t="s">
        <v>463</v>
      </c>
      <c r="C15" s="18"/>
      <c r="D15" s="62" t="s">
        <v>262</v>
      </c>
    </row>
    <row r="16">
      <c r="B16" s="18" t="s">
        <v>464</v>
      </c>
      <c r="C16" s="18">
        <v>24.0</v>
      </c>
      <c r="D16" s="63" t="s">
        <v>465</v>
      </c>
    </row>
    <row r="17">
      <c r="B17" s="18" t="s">
        <v>453</v>
      </c>
      <c r="C17" s="54">
        <f>C16/1000</f>
        <v>0.024</v>
      </c>
    </row>
    <row r="18">
      <c r="B18" s="18" t="s">
        <v>457</v>
      </c>
      <c r="C18" s="54">
        <f>C17*C8</f>
        <v>72</v>
      </c>
    </row>
    <row r="19">
      <c r="B19" s="18" t="s">
        <v>466</v>
      </c>
      <c r="C19" s="19">
        <f>C18*C12</f>
        <v>51.552</v>
      </c>
    </row>
    <row r="20">
      <c r="B20" s="18" t="s">
        <v>467</v>
      </c>
      <c r="C20" s="19">
        <f>C18*C10</f>
        <v>576</v>
      </c>
    </row>
    <row r="22">
      <c r="B22" s="64" t="s">
        <v>468</v>
      </c>
    </row>
    <row r="23">
      <c r="B23" s="18" t="s">
        <v>469</v>
      </c>
      <c r="C23" s="54">
        <f>C11-C20</f>
        <v>1200</v>
      </c>
    </row>
    <row r="24">
      <c r="B24" s="18" t="s">
        <v>470</v>
      </c>
      <c r="C24" s="65">
        <f>(C23/C11)</f>
        <v>0.6756756757</v>
      </c>
    </row>
    <row r="25">
      <c r="B25" s="18" t="s">
        <v>471</v>
      </c>
      <c r="C25" s="54">
        <f>C13-C19</f>
        <v>107.4</v>
      </c>
    </row>
    <row r="26">
      <c r="B26" s="18" t="s">
        <v>472</v>
      </c>
      <c r="C26" s="65">
        <f>C25/C13</f>
        <v>0.6756756757</v>
      </c>
    </row>
    <row r="27">
      <c r="B27" s="18" t="s">
        <v>473</v>
      </c>
      <c r="C27" s="18">
        <v>20.0</v>
      </c>
      <c r="D27" s="1" t="s">
        <v>262</v>
      </c>
    </row>
    <row r="28">
      <c r="B28" s="18" t="s">
        <v>474</v>
      </c>
      <c r="C28" s="54">
        <f>C23*C27</f>
        <v>24000</v>
      </c>
    </row>
    <row r="29">
      <c r="B29" s="18" t="s">
        <v>475</v>
      </c>
      <c r="C29" s="54">
        <f>C25*C27</f>
        <v>2148</v>
      </c>
    </row>
    <row r="32">
      <c r="B32" s="64" t="s">
        <v>476</v>
      </c>
    </row>
    <row r="33">
      <c r="B33" s="18" t="s">
        <v>477</v>
      </c>
      <c r="C33" s="18">
        <v>4500.0</v>
      </c>
      <c r="D33" s="1" t="s">
        <v>262</v>
      </c>
    </row>
    <row r="34">
      <c r="B34" s="18" t="s">
        <v>478</v>
      </c>
      <c r="C34" s="66">
        <f>C33*C27</f>
        <v>90000</v>
      </c>
    </row>
    <row r="35">
      <c r="B35" s="18" t="s">
        <v>479</v>
      </c>
      <c r="C35" s="66">
        <f>C34/C28</f>
        <v>3.75</v>
      </c>
    </row>
    <row r="37">
      <c r="B37" s="64" t="s">
        <v>480</v>
      </c>
    </row>
    <row r="38">
      <c r="B38" s="18" t="s">
        <v>481</v>
      </c>
      <c r="C38" s="19">
        <f>C33</f>
        <v>4500</v>
      </c>
      <c r="D38" s="1" t="s">
        <v>482</v>
      </c>
    </row>
    <row r="39">
      <c r="B39" s="42" t="s">
        <v>483</v>
      </c>
      <c r="C39" s="18">
        <v>2000.0</v>
      </c>
      <c r="D39" s="1" t="s">
        <v>482</v>
      </c>
    </row>
    <row r="40">
      <c r="B40" s="18" t="s">
        <v>484</v>
      </c>
      <c r="C40" s="18">
        <v>2.0</v>
      </c>
      <c r="D40" s="1" t="s">
        <v>485</v>
      </c>
    </row>
    <row r="41">
      <c r="B41" s="18" t="s">
        <v>486</v>
      </c>
      <c r="C41" s="33">
        <v>0.08</v>
      </c>
      <c r="D41" s="1" t="s">
        <v>482</v>
      </c>
    </row>
    <row r="42">
      <c r="B42" s="18" t="s">
        <v>487</v>
      </c>
      <c r="C42" s="67">
        <f>C39*(1-C41)^C40</f>
        <v>1692.8</v>
      </c>
    </row>
    <row r="43">
      <c r="B43" s="18" t="s">
        <v>488</v>
      </c>
      <c r="C43" s="68">
        <f>C38-C42</f>
        <v>2807.2</v>
      </c>
      <c r="D43" s="1" t="s">
        <v>489</v>
      </c>
    </row>
    <row r="44">
      <c r="B44" s="18" t="s">
        <v>490</v>
      </c>
      <c r="C44" s="18">
        <v>10.0</v>
      </c>
      <c r="D44" s="1" t="s">
        <v>482</v>
      </c>
    </row>
    <row r="45">
      <c r="B45" s="18" t="s">
        <v>491</v>
      </c>
      <c r="C45" s="69">
        <f>C23*(1-(1+8%)^-C44)/8%</f>
        <v>8052.097679</v>
      </c>
    </row>
    <row r="46">
      <c r="B46" s="18" t="s">
        <v>492</v>
      </c>
      <c r="C46" s="69">
        <f>C25*(1-(1+8%)^-C44)/8%</f>
        <v>720.6627422</v>
      </c>
    </row>
    <row r="47">
      <c r="B47" s="18" t="s">
        <v>493</v>
      </c>
      <c r="C47" s="54">
        <f>(C43-C45)/C46</f>
        <v>-7.277880999</v>
      </c>
    </row>
  </sheetData>
  <mergeCells count="1">
    <mergeCell ref="B2:F2"/>
  </mergeCells>
  <hyperlinks>
    <hyperlink r:id="rId1" ref="D1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63"/>
    <col customWidth="1" min="3" max="3" width="36.88"/>
    <col customWidth="1" min="4" max="4" width="34.63"/>
    <col customWidth="1" min="5" max="5" width="39.5"/>
    <col customWidth="1" min="6" max="6" width="28.88"/>
  </cols>
  <sheetData>
    <row r="2">
      <c r="B2" s="53" t="s">
        <v>494</v>
      </c>
    </row>
    <row r="3">
      <c r="B3" s="18" t="s">
        <v>495</v>
      </c>
      <c r="C3" s="19"/>
      <c r="D3" s="1" t="s">
        <v>262</v>
      </c>
    </row>
    <row r="4">
      <c r="B4" s="18" t="s">
        <v>496</v>
      </c>
      <c r="C4" s="18">
        <v>60.0</v>
      </c>
      <c r="D4" s="1" t="s">
        <v>262</v>
      </c>
    </row>
    <row r="5">
      <c r="B5" s="18" t="s">
        <v>453</v>
      </c>
      <c r="C5" s="54">
        <f>C4/1000</f>
        <v>0.06</v>
      </c>
    </row>
    <row r="6">
      <c r="B6" s="18" t="s">
        <v>454</v>
      </c>
      <c r="C6" s="18">
        <v>12.0</v>
      </c>
      <c r="D6" s="1" t="s">
        <v>262</v>
      </c>
      <c r="E6" s="55"/>
      <c r="F6" s="55"/>
      <c r="G6" s="56"/>
    </row>
    <row r="7">
      <c r="B7" s="18" t="s">
        <v>455</v>
      </c>
      <c r="C7" s="18">
        <v>250.0</v>
      </c>
      <c r="D7" s="1" t="s">
        <v>262</v>
      </c>
      <c r="E7" s="55"/>
      <c r="F7" s="55"/>
      <c r="G7" s="56"/>
    </row>
    <row r="8">
      <c r="B8" s="18" t="s">
        <v>456</v>
      </c>
      <c r="C8" s="57">
        <f>C6*C7</f>
        <v>3000</v>
      </c>
      <c r="E8" s="55"/>
      <c r="F8" s="58"/>
      <c r="G8" s="56"/>
    </row>
    <row r="9">
      <c r="B9" s="18" t="s">
        <v>497</v>
      </c>
      <c r="C9" s="59">
        <f>C5*C8</f>
        <v>180</v>
      </c>
      <c r="E9" s="55"/>
      <c r="F9" s="60"/>
      <c r="G9" s="56"/>
    </row>
    <row r="10">
      <c r="B10" s="18" t="s">
        <v>458</v>
      </c>
      <c r="C10" s="18">
        <v>8.0</v>
      </c>
      <c r="D10" s="1" t="s">
        <v>262</v>
      </c>
      <c r="E10" s="55"/>
      <c r="F10" s="55"/>
      <c r="G10" s="56"/>
    </row>
    <row r="11">
      <c r="B11" s="18" t="s">
        <v>498</v>
      </c>
      <c r="C11" s="61">
        <f>C9*C10</f>
        <v>1440</v>
      </c>
      <c r="E11" s="55"/>
      <c r="F11" s="58"/>
      <c r="G11" s="56"/>
    </row>
    <row r="12">
      <c r="B12" s="18" t="s">
        <v>460</v>
      </c>
      <c r="C12" s="18">
        <v>0.716</v>
      </c>
      <c r="D12" s="1" t="s">
        <v>461</v>
      </c>
      <c r="E12" s="55"/>
      <c r="F12" s="55"/>
      <c r="G12" s="56"/>
    </row>
    <row r="13">
      <c r="B13" s="18" t="s">
        <v>499</v>
      </c>
      <c r="C13" s="54">
        <f>C9*C12</f>
        <v>128.88</v>
      </c>
      <c r="E13" s="55"/>
      <c r="F13" s="60"/>
      <c r="G13" s="56"/>
    </row>
    <row r="15">
      <c r="B15" s="18" t="s">
        <v>500</v>
      </c>
      <c r="C15" s="18"/>
      <c r="D15" s="62" t="s">
        <v>262</v>
      </c>
    </row>
    <row r="16">
      <c r="B16" s="18" t="s">
        <v>501</v>
      </c>
      <c r="C16" s="18">
        <v>7.0</v>
      </c>
      <c r="D16" s="62" t="s">
        <v>502</v>
      </c>
    </row>
    <row r="17">
      <c r="B17" s="18" t="s">
        <v>453</v>
      </c>
      <c r="C17" s="54">
        <f>C16/1000</f>
        <v>0.007</v>
      </c>
    </row>
    <row r="18">
      <c r="B18" s="18" t="s">
        <v>503</v>
      </c>
      <c r="C18" s="54">
        <f>C17*C8</f>
        <v>21</v>
      </c>
      <c r="E18" s="6">
        <f>0.13*12</f>
        <v>1.56</v>
      </c>
    </row>
    <row r="19">
      <c r="B19" s="18" t="s">
        <v>504</v>
      </c>
      <c r="C19" s="19">
        <f>C18*C12</f>
        <v>15.036</v>
      </c>
    </row>
    <row r="20">
      <c r="B20" s="18" t="s">
        <v>505</v>
      </c>
      <c r="C20" s="19">
        <f>C18*C10</f>
        <v>168</v>
      </c>
    </row>
    <row r="22">
      <c r="B22" s="64" t="s">
        <v>468</v>
      </c>
    </row>
    <row r="23">
      <c r="B23" s="18" t="s">
        <v>506</v>
      </c>
      <c r="C23" s="54">
        <f>C11-C20</f>
        <v>1272</v>
      </c>
    </row>
    <row r="24">
      <c r="B24" s="18" t="s">
        <v>507</v>
      </c>
      <c r="C24" s="65">
        <f>(C23/C11)</f>
        <v>0.8833333333</v>
      </c>
    </row>
    <row r="25">
      <c r="B25" s="18" t="s">
        <v>508</v>
      </c>
      <c r="C25" s="54">
        <f>C13-C19</f>
        <v>113.844</v>
      </c>
    </row>
    <row r="26">
      <c r="B26" s="18" t="s">
        <v>509</v>
      </c>
      <c r="C26" s="65">
        <f>C25/C13</f>
        <v>0.8833333333</v>
      </c>
    </row>
    <row r="27">
      <c r="B27" s="18" t="s">
        <v>510</v>
      </c>
      <c r="C27" s="18">
        <v>50.0</v>
      </c>
      <c r="D27" s="1" t="s">
        <v>262</v>
      </c>
    </row>
    <row r="28">
      <c r="B28" s="18" t="s">
        <v>474</v>
      </c>
      <c r="C28" s="54">
        <f>C23*C27</f>
        <v>63600</v>
      </c>
    </row>
    <row r="29">
      <c r="B29" s="18" t="s">
        <v>475</v>
      </c>
      <c r="C29" s="54">
        <f>C25*C27</f>
        <v>5692.2</v>
      </c>
    </row>
    <row r="32">
      <c r="B32" s="64" t="s">
        <v>476</v>
      </c>
    </row>
    <row r="33">
      <c r="B33" s="18" t="s">
        <v>511</v>
      </c>
      <c r="C33" s="18">
        <v>165.0</v>
      </c>
      <c r="D33" s="1" t="s">
        <v>262</v>
      </c>
    </row>
    <row r="34">
      <c r="B34" s="18" t="s">
        <v>512</v>
      </c>
      <c r="C34" s="66">
        <f>C33*C27</f>
        <v>8250</v>
      </c>
    </row>
    <row r="35">
      <c r="B35" s="18" t="s">
        <v>479</v>
      </c>
      <c r="C35" s="66">
        <f>C34/C28</f>
        <v>0.1297169811</v>
      </c>
    </row>
    <row r="37">
      <c r="B37" s="64" t="s">
        <v>480</v>
      </c>
    </row>
    <row r="38">
      <c r="B38" s="18" t="s">
        <v>511</v>
      </c>
      <c r="C38" s="19">
        <f>C33</f>
        <v>165</v>
      </c>
      <c r="D38" s="1" t="s">
        <v>482</v>
      </c>
    </row>
    <row r="39">
      <c r="B39" s="42" t="s">
        <v>513</v>
      </c>
      <c r="C39" s="18">
        <v>20.0</v>
      </c>
      <c r="D39" s="1" t="s">
        <v>482</v>
      </c>
    </row>
    <row r="40">
      <c r="B40" s="18" t="s">
        <v>514</v>
      </c>
      <c r="C40" s="18">
        <v>5.0</v>
      </c>
      <c r="D40" s="1" t="s">
        <v>485</v>
      </c>
    </row>
    <row r="41">
      <c r="B41" s="18" t="s">
        <v>486</v>
      </c>
      <c r="C41" s="33">
        <v>0.08</v>
      </c>
      <c r="D41" s="1" t="s">
        <v>482</v>
      </c>
    </row>
    <row r="42">
      <c r="B42" s="18" t="s">
        <v>515</v>
      </c>
      <c r="C42" s="68">
        <f>C39*(1-C41)^C40</f>
        <v>13.18163046</v>
      </c>
    </row>
    <row r="43">
      <c r="B43" s="18" t="s">
        <v>516</v>
      </c>
      <c r="C43" s="68">
        <f>C38-C42</f>
        <v>151.8183695</v>
      </c>
      <c r="D43" s="1" t="s">
        <v>517</v>
      </c>
    </row>
    <row r="44">
      <c r="B44" s="18" t="s">
        <v>518</v>
      </c>
      <c r="C44" s="18">
        <v>20.0</v>
      </c>
      <c r="D44" s="1" t="s">
        <v>482</v>
      </c>
    </row>
    <row r="45">
      <c r="B45" s="18" t="s">
        <v>519</v>
      </c>
      <c r="C45" s="69">
        <f>C23*(1-(1+8%)^-C44)/8%</f>
        <v>12488.6835</v>
      </c>
    </row>
    <row r="46">
      <c r="B46" s="18" t="s">
        <v>520</v>
      </c>
      <c r="C46" s="54">
        <f>C25*(1-(1+8%)^-C44)/8%</f>
        <v>1117.737173</v>
      </c>
    </row>
    <row r="47">
      <c r="B47" s="18" t="s">
        <v>493</v>
      </c>
      <c r="C47" s="54">
        <f>(C43-C45)/C46</f>
        <v>-11.03735782</v>
      </c>
    </row>
  </sheetData>
  <mergeCells count="1">
    <mergeCell ref="B2:F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4" max="4" width="21.5"/>
    <col customWidth="1" min="5" max="5" width="30.88"/>
    <col customWidth="1" min="7" max="7" width="32.38"/>
    <col customWidth="1" min="8" max="8" width="16.13"/>
    <col customWidth="1" min="11" max="11" width="28.63"/>
    <col customWidth="1" min="12" max="12" width="18.0"/>
  </cols>
  <sheetData>
    <row r="2">
      <c r="B2" s="18" t="s">
        <v>521</v>
      </c>
      <c r="C2" s="19"/>
      <c r="D2" s="19"/>
      <c r="E2" s="1" t="s">
        <v>485</v>
      </c>
      <c r="J2" s="9" t="s">
        <v>522</v>
      </c>
      <c r="K2" s="9" t="s">
        <v>523</v>
      </c>
      <c r="L2" s="39" t="s">
        <v>252</v>
      </c>
      <c r="M2" s="39" t="s">
        <v>524</v>
      </c>
      <c r="N2" s="39" t="s">
        <v>525</v>
      </c>
    </row>
    <row r="3">
      <c r="B3" s="18" t="s">
        <v>526</v>
      </c>
      <c r="C3" s="19"/>
      <c r="D3" s="19"/>
      <c r="E3" s="1" t="s">
        <v>485</v>
      </c>
      <c r="J3" s="1" t="s">
        <v>527</v>
      </c>
      <c r="K3" s="1" t="s">
        <v>528</v>
      </c>
      <c r="L3" s="1">
        <v>0.32</v>
      </c>
      <c r="M3" s="1">
        <v>0.38</v>
      </c>
      <c r="N3" s="47">
        <f t="shared" ref="N3:N6" si="1">average(L3:M3)</f>
        <v>0.35</v>
      </c>
    </row>
    <row r="4">
      <c r="B4" s="18" t="s">
        <v>529</v>
      </c>
      <c r="C4" s="18">
        <v>48.0</v>
      </c>
      <c r="D4" s="18" t="s">
        <v>530</v>
      </c>
      <c r="E4" s="1" t="s">
        <v>485</v>
      </c>
      <c r="J4" s="1" t="s">
        <v>531</v>
      </c>
      <c r="K4" s="1" t="s">
        <v>532</v>
      </c>
      <c r="L4" s="1">
        <v>0.27</v>
      </c>
      <c r="M4" s="1">
        <v>0.3</v>
      </c>
      <c r="N4" s="47">
        <f t="shared" si="1"/>
        <v>0.285</v>
      </c>
    </row>
    <row r="5">
      <c r="B5" s="18" t="s">
        <v>533</v>
      </c>
      <c r="C5" s="18" t="s">
        <v>140</v>
      </c>
      <c r="D5" s="18" t="s">
        <v>534</v>
      </c>
      <c r="E5" s="1" t="s">
        <v>485</v>
      </c>
      <c r="J5" s="1" t="s">
        <v>535</v>
      </c>
      <c r="K5" s="1" t="s">
        <v>536</v>
      </c>
      <c r="L5" s="1">
        <v>0.24</v>
      </c>
      <c r="M5" s="1">
        <v>0.27</v>
      </c>
      <c r="N5" s="47">
        <f t="shared" si="1"/>
        <v>0.255</v>
      </c>
    </row>
    <row r="6">
      <c r="A6" s="1" t="s">
        <v>537</v>
      </c>
      <c r="B6" s="18" t="s">
        <v>538</v>
      </c>
      <c r="C6" s="18">
        <v>18168.75</v>
      </c>
      <c r="D6" s="18" t="s">
        <v>539</v>
      </c>
      <c r="E6" s="1" t="s">
        <v>485</v>
      </c>
      <c r="J6" s="1" t="s">
        <v>540</v>
      </c>
      <c r="K6" s="1" t="s">
        <v>541</v>
      </c>
      <c r="L6" s="1">
        <v>0.25</v>
      </c>
      <c r="M6" s="1">
        <v>0.28</v>
      </c>
      <c r="N6" s="47">
        <f t="shared" si="1"/>
        <v>0.265</v>
      </c>
    </row>
    <row r="7">
      <c r="A7" s="1" t="s">
        <v>542</v>
      </c>
      <c r="B7" s="18" t="s">
        <v>543</v>
      </c>
      <c r="C7" s="18">
        <v>75.0</v>
      </c>
      <c r="D7" s="18" t="s">
        <v>371</v>
      </c>
      <c r="E7" s="1" t="s">
        <v>485</v>
      </c>
    </row>
    <row r="8">
      <c r="B8" s="18" t="s">
        <v>544</v>
      </c>
      <c r="C8" s="18">
        <v>0.95</v>
      </c>
      <c r="D8" s="18" t="s">
        <v>545</v>
      </c>
      <c r="E8" s="1" t="s">
        <v>485</v>
      </c>
      <c r="J8" s="8" t="s">
        <v>546</v>
      </c>
      <c r="K8" s="8" t="s">
        <v>547</v>
      </c>
    </row>
    <row r="9">
      <c r="B9" s="18" t="s">
        <v>543</v>
      </c>
      <c r="C9" s="54">
        <f>(C4*C7*C8)/100</f>
        <v>34.2</v>
      </c>
      <c r="D9" s="18" t="s">
        <v>530</v>
      </c>
      <c r="E9" s="1" t="s">
        <v>548</v>
      </c>
      <c r="J9" s="1" t="s">
        <v>549</v>
      </c>
      <c r="K9" s="1" t="s">
        <v>550</v>
      </c>
    </row>
    <row r="10">
      <c r="B10" s="18" t="s">
        <v>551</v>
      </c>
      <c r="C10" s="18">
        <v>750.0</v>
      </c>
      <c r="D10" s="18" t="s">
        <v>552</v>
      </c>
      <c r="E10" s="1" t="s">
        <v>485</v>
      </c>
      <c r="J10" s="1" t="s">
        <v>227</v>
      </c>
      <c r="K10" s="1" t="s">
        <v>553</v>
      </c>
    </row>
    <row r="11">
      <c r="B11" s="18" t="s">
        <v>554</v>
      </c>
      <c r="C11" s="54">
        <f>C9*C10</f>
        <v>25650</v>
      </c>
      <c r="D11" s="18" t="s">
        <v>300</v>
      </c>
      <c r="E11" s="5" t="s">
        <v>555</v>
      </c>
      <c r="G11" s="1"/>
      <c r="H11" s="1"/>
      <c r="I11" s="1"/>
      <c r="J11" s="1" t="s">
        <v>556</v>
      </c>
      <c r="K11" s="1" t="s">
        <v>557</v>
      </c>
    </row>
    <row r="12">
      <c r="B12" s="18" t="s">
        <v>558</v>
      </c>
      <c r="C12" s="18">
        <v>0.26</v>
      </c>
      <c r="D12" s="18" t="s">
        <v>559</v>
      </c>
      <c r="E12" s="1" t="s">
        <v>485</v>
      </c>
      <c r="G12" s="1"/>
      <c r="H12" s="1"/>
      <c r="I12" s="1"/>
    </row>
    <row r="13">
      <c r="B13" s="18" t="s">
        <v>560</v>
      </c>
      <c r="C13" s="54">
        <f>C11*C12</f>
        <v>6669</v>
      </c>
      <c r="D13" s="18" t="s">
        <v>539</v>
      </c>
      <c r="E13" s="1" t="s">
        <v>548</v>
      </c>
      <c r="G13" s="1"/>
      <c r="H13" s="1"/>
      <c r="I13" s="1"/>
    </row>
    <row r="14">
      <c r="B14" s="1"/>
      <c r="D14" s="1"/>
      <c r="G14" s="1"/>
      <c r="H14" s="1"/>
      <c r="I14" s="1"/>
    </row>
    <row r="15">
      <c r="B15" s="1"/>
      <c r="D15" s="1"/>
      <c r="G15" s="1"/>
      <c r="H15" s="1"/>
      <c r="I15" s="1"/>
    </row>
    <row r="16">
      <c r="B16" s="3" t="s">
        <v>561</v>
      </c>
      <c r="C16" s="1"/>
      <c r="D16" s="1"/>
      <c r="E16" s="1"/>
    </row>
    <row r="17">
      <c r="B17" s="18" t="s">
        <v>562</v>
      </c>
      <c r="C17" s="19">
        <v>19023.75</v>
      </c>
      <c r="D17" s="18" t="s">
        <v>539</v>
      </c>
    </row>
    <row r="18">
      <c r="B18" s="18" t="s">
        <v>563</v>
      </c>
      <c r="C18" s="70">
        <v>9.927</v>
      </c>
      <c r="D18" s="18" t="s">
        <v>564</v>
      </c>
      <c r="E18" s="1" t="s">
        <v>565</v>
      </c>
    </row>
    <row r="19">
      <c r="B19" s="18" t="s">
        <v>566</v>
      </c>
      <c r="C19" s="71">
        <f>C17*C18</f>
        <v>188848.7663</v>
      </c>
      <c r="D19" s="18" t="s">
        <v>300</v>
      </c>
      <c r="E19" s="1" t="s">
        <v>548</v>
      </c>
    </row>
    <row r="20">
      <c r="B20" s="18" t="s">
        <v>567</v>
      </c>
      <c r="C20" s="71">
        <f>C17*G20</f>
        <v>50632.66181</v>
      </c>
      <c r="D20" s="18" t="s">
        <v>316</v>
      </c>
      <c r="E20" s="1" t="s">
        <v>548</v>
      </c>
      <c r="F20" s="18" t="s">
        <v>568</v>
      </c>
      <c r="G20" s="70">
        <v>2.66155</v>
      </c>
      <c r="H20" s="18" t="s">
        <v>569</v>
      </c>
      <c r="I20" s="1" t="s">
        <v>570</v>
      </c>
    </row>
    <row r="21">
      <c r="B21" s="18" t="s">
        <v>571</v>
      </c>
      <c r="C21" s="72">
        <f>C17*G21</f>
        <v>1712137.5</v>
      </c>
      <c r="D21" s="18" t="s">
        <v>309</v>
      </c>
      <c r="E21" s="1" t="s">
        <v>548</v>
      </c>
      <c r="F21" s="18" t="s">
        <v>572</v>
      </c>
      <c r="G21" s="18">
        <v>90.0</v>
      </c>
      <c r="H21" s="18" t="s">
        <v>573</v>
      </c>
      <c r="I21" s="1" t="s">
        <v>574</v>
      </c>
    </row>
    <row r="22">
      <c r="B22" s="1"/>
      <c r="C22" s="73"/>
    </row>
    <row r="23">
      <c r="B23" s="1"/>
      <c r="C23" s="73"/>
    </row>
    <row r="24">
      <c r="B24" s="1"/>
      <c r="C24" s="73"/>
      <c r="E24" s="6">
        <f>C17-C28</f>
        <v>13316.625</v>
      </c>
    </row>
    <row r="25">
      <c r="B25" s="3" t="s">
        <v>575</v>
      </c>
      <c r="C25" s="73"/>
      <c r="F25" s="31" t="s">
        <v>546</v>
      </c>
      <c r="G25" s="31" t="s">
        <v>576</v>
      </c>
      <c r="H25" s="31" t="s">
        <v>577</v>
      </c>
      <c r="I25" s="31" t="s">
        <v>578</v>
      </c>
    </row>
    <row r="26">
      <c r="B26" s="18" t="s">
        <v>579</v>
      </c>
      <c r="C26" s="18" t="s">
        <v>580</v>
      </c>
      <c r="D26" s="1"/>
      <c r="E26" s="1" t="s">
        <v>485</v>
      </c>
      <c r="F26" s="18" t="s">
        <v>229</v>
      </c>
      <c r="G26" s="70">
        <v>0.01</v>
      </c>
      <c r="H26" s="18" t="s">
        <v>564</v>
      </c>
      <c r="I26" s="18" t="s">
        <v>581</v>
      </c>
    </row>
    <row r="27">
      <c r="B27" s="18" t="s">
        <v>582</v>
      </c>
      <c r="C27" s="18">
        <v>70.0</v>
      </c>
      <c r="D27" s="18" t="s">
        <v>371</v>
      </c>
      <c r="E27" s="1" t="s">
        <v>485</v>
      </c>
      <c r="F27" s="18" t="s">
        <v>580</v>
      </c>
      <c r="G27" s="70">
        <v>2.224</v>
      </c>
      <c r="H27" s="18" t="s">
        <v>564</v>
      </c>
      <c r="I27" s="18" t="s">
        <v>581</v>
      </c>
    </row>
    <row r="28">
      <c r="B28" s="18" t="s">
        <v>583</v>
      </c>
      <c r="C28" s="74">
        <f>C17*(1-C27%)</f>
        <v>5707.125</v>
      </c>
      <c r="D28" s="18" t="s">
        <v>539</v>
      </c>
      <c r="E28" s="1" t="s">
        <v>548</v>
      </c>
      <c r="F28" s="18" t="s">
        <v>227</v>
      </c>
      <c r="G28" s="70">
        <v>6.761</v>
      </c>
      <c r="H28" s="18" t="s">
        <v>564</v>
      </c>
      <c r="I28" s="18" t="s">
        <v>581</v>
      </c>
    </row>
    <row r="29">
      <c r="B29" s="18" t="s">
        <v>584</v>
      </c>
      <c r="C29" s="75">
        <f>C28*C18</f>
        <v>56654.62988</v>
      </c>
      <c r="D29" s="18" t="s">
        <v>300</v>
      </c>
      <c r="E29" s="1" t="s">
        <v>548</v>
      </c>
      <c r="F29" s="1"/>
      <c r="G29" s="1"/>
      <c r="H29" s="1"/>
      <c r="I29" s="1"/>
    </row>
    <row r="30">
      <c r="B30" s="18" t="s">
        <v>585</v>
      </c>
      <c r="C30" s="75">
        <f>C19-C29</f>
        <v>132194.1364</v>
      </c>
      <c r="D30" s="18" t="s">
        <v>300</v>
      </c>
      <c r="E30" s="1" t="s">
        <v>548</v>
      </c>
      <c r="H30" s="1"/>
    </row>
    <row r="31">
      <c r="B31" s="18" t="s">
        <v>586</v>
      </c>
      <c r="C31" s="70">
        <f t="array" ref="C31">XLOOKUP(C26,$F$26:$F$29,$G$26:$G$29)</f>
        <v>2.224</v>
      </c>
      <c r="D31" s="18" t="s">
        <v>564</v>
      </c>
      <c r="E31" s="1" t="s">
        <v>587</v>
      </c>
    </row>
    <row r="32">
      <c r="B32" s="18" t="s">
        <v>588</v>
      </c>
      <c r="C32" s="76">
        <f>C30/C31</f>
        <v>59439.80952</v>
      </c>
      <c r="D32" s="18" t="s">
        <v>539</v>
      </c>
      <c r="E32" s="1" t="s">
        <v>548</v>
      </c>
    </row>
    <row r="33">
      <c r="B33" s="18" t="s">
        <v>589</v>
      </c>
      <c r="C33" s="76">
        <f>C28*G20</f>
        <v>15189.79854</v>
      </c>
      <c r="D33" s="18" t="s">
        <v>316</v>
      </c>
      <c r="E33" s="1" t="s">
        <v>548</v>
      </c>
      <c r="F33" s="31" t="s">
        <v>546</v>
      </c>
      <c r="G33" s="31" t="s">
        <v>590</v>
      </c>
      <c r="H33" s="31" t="s">
        <v>577</v>
      </c>
      <c r="I33" s="31" t="s">
        <v>578</v>
      </c>
    </row>
    <row r="34">
      <c r="B34" s="18" t="s">
        <v>591</v>
      </c>
      <c r="C34" s="76">
        <f t="array" ref="C34">(XLOOKUP(C26,$F$34:$F$37,$G$34:$G$37))*C32</f>
        <v>26789.52215</v>
      </c>
      <c r="D34" s="18" t="s">
        <v>316</v>
      </c>
      <c r="E34" s="1" t="s">
        <v>548</v>
      </c>
      <c r="F34" s="18" t="s">
        <v>229</v>
      </c>
      <c r="G34" s="70">
        <f>2.08906/1000</f>
        <v>0.00208906</v>
      </c>
      <c r="H34" s="18" t="s">
        <v>569</v>
      </c>
      <c r="I34" s="18" t="s">
        <v>581</v>
      </c>
    </row>
    <row r="35">
      <c r="B35" s="18" t="s">
        <v>592</v>
      </c>
      <c r="C35" s="76">
        <f>C33+C34</f>
        <v>41979.32069</v>
      </c>
      <c r="D35" s="18" t="s">
        <v>316</v>
      </c>
      <c r="E35" s="1" t="s">
        <v>548</v>
      </c>
      <c r="F35" s="18" t="s">
        <v>580</v>
      </c>
      <c r="G35" s="70">
        <v>0.4507</v>
      </c>
      <c r="H35" s="18" t="s">
        <v>569</v>
      </c>
      <c r="I35" s="18" t="s">
        <v>581</v>
      </c>
    </row>
    <row r="36">
      <c r="B36" s="18" t="s">
        <v>593</v>
      </c>
      <c r="C36" s="72">
        <f>C28*G21</f>
        <v>513641.25</v>
      </c>
      <c r="D36" s="18" t="s">
        <v>309</v>
      </c>
      <c r="E36" s="1" t="s">
        <v>548</v>
      </c>
      <c r="F36" s="18" t="s">
        <v>227</v>
      </c>
      <c r="G36" s="70">
        <v>1.55713</v>
      </c>
      <c r="H36" s="18" t="s">
        <v>569</v>
      </c>
      <c r="I36" s="18" t="s">
        <v>581</v>
      </c>
    </row>
    <row r="37">
      <c r="B37" s="18" t="s">
        <v>594</v>
      </c>
      <c r="C37" s="72">
        <f t="array" ref="C37">(XLOOKUP(C26,$F$40:$F$43,$G$40:$G$43))*C32</f>
        <v>832157.3333</v>
      </c>
      <c r="D37" s="18" t="s">
        <v>309</v>
      </c>
      <c r="E37" s="1" t="s">
        <v>548</v>
      </c>
      <c r="F37" s="1"/>
      <c r="G37" s="1"/>
      <c r="H37" s="1"/>
      <c r="I37" s="1"/>
    </row>
    <row r="38">
      <c r="B38" s="18" t="s">
        <v>595</v>
      </c>
      <c r="C38" s="72">
        <f>C36+C37</f>
        <v>1345798.583</v>
      </c>
      <c r="D38" s="18" t="s">
        <v>309</v>
      </c>
      <c r="E38" s="1" t="s">
        <v>548</v>
      </c>
    </row>
    <row r="39">
      <c r="B39" s="18" t="s">
        <v>596</v>
      </c>
      <c r="C39" s="76">
        <f>C20-C35</f>
        <v>8653.341118</v>
      </c>
      <c r="D39" s="18" t="s">
        <v>316</v>
      </c>
      <c r="E39" s="1" t="s">
        <v>548</v>
      </c>
      <c r="F39" s="31" t="s">
        <v>546</v>
      </c>
      <c r="G39" s="31" t="s">
        <v>597</v>
      </c>
      <c r="H39" s="31" t="s">
        <v>577</v>
      </c>
      <c r="I39" s="31" t="s">
        <v>578</v>
      </c>
    </row>
    <row r="40">
      <c r="B40" s="18" t="s">
        <v>598</v>
      </c>
      <c r="C40" s="76">
        <f>(C39/C20)*100</f>
        <v>17.09043295</v>
      </c>
      <c r="D40" s="18" t="s">
        <v>371</v>
      </c>
      <c r="E40" s="1" t="s">
        <v>548</v>
      </c>
      <c r="F40" s="18" t="s">
        <v>229</v>
      </c>
      <c r="G40" s="18">
        <f>55/1000</f>
        <v>0.055</v>
      </c>
      <c r="H40" s="18" t="s">
        <v>573</v>
      </c>
      <c r="I40" s="77" t="s">
        <v>599</v>
      </c>
    </row>
    <row r="41">
      <c r="F41" s="18" t="s">
        <v>580</v>
      </c>
      <c r="G41" s="18">
        <v>14.0</v>
      </c>
      <c r="H41" s="18" t="s">
        <v>573</v>
      </c>
      <c r="I41" s="78"/>
    </row>
    <row r="42">
      <c r="B42" s="3" t="s">
        <v>600</v>
      </c>
      <c r="F42" s="18" t="s">
        <v>227</v>
      </c>
      <c r="G42" s="18">
        <v>32.0</v>
      </c>
      <c r="H42" s="18" t="s">
        <v>573</v>
      </c>
      <c r="I42" s="79"/>
    </row>
    <row r="43">
      <c r="B43" s="18" t="s">
        <v>601</v>
      </c>
      <c r="C43" s="72">
        <f>C21-C38</f>
        <v>366338.9167</v>
      </c>
      <c r="D43" s="18" t="s">
        <v>309</v>
      </c>
      <c r="E43" s="1" t="s">
        <v>548</v>
      </c>
      <c r="F43" s="1"/>
      <c r="G43" s="1"/>
      <c r="H43" s="1"/>
      <c r="I43" s="5"/>
    </row>
    <row r="44">
      <c r="B44" s="18" t="s">
        <v>602</v>
      </c>
      <c r="C44" s="54">
        <f>(C43/C21)*100</f>
        <v>21.39658273</v>
      </c>
      <c r="D44" s="18" t="s">
        <v>371</v>
      </c>
      <c r="E44" s="1" t="s">
        <v>548</v>
      </c>
    </row>
    <row r="46">
      <c r="B46" s="3" t="s">
        <v>603</v>
      </c>
    </row>
    <row r="47">
      <c r="B47" s="18" t="s">
        <v>604</v>
      </c>
      <c r="C47" s="18">
        <v>450000.0</v>
      </c>
      <c r="D47" s="18" t="s">
        <v>309</v>
      </c>
      <c r="E47" s="1" t="s">
        <v>605</v>
      </c>
    </row>
    <row r="48">
      <c r="B48" s="18" t="s">
        <v>606</v>
      </c>
      <c r="C48" s="18">
        <v>20000.0</v>
      </c>
      <c r="D48" s="18" t="s">
        <v>309</v>
      </c>
      <c r="E48" s="1" t="s">
        <v>605</v>
      </c>
    </row>
    <row r="49">
      <c r="B49" s="18" t="s">
        <v>314</v>
      </c>
      <c r="C49" s="71">
        <f>C47/(C43-C48)</f>
        <v>1.299305329</v>
      </c>
      <c r="D49" s="18" t="s">
        <v>291</v>
      </c>
      <c r="E49" s="1" t="s">
        <v>548</v>
      </c>
    </row>
    <row r="51">
      <c r="B51" s="3" t="s">
        <v>607</v>
      </c>
    </row>
    <row r="52">
      <c r="B52" s="18" t="s">
        <v>604</v>
      </c>
      <c r="C52" s="19">
        <f>C47</f>
        <v>450000</v>
      </c>
      <c r="D52" s="1" t="s">
        <v>309</v>
      </c>
      <c r="E52" s="1" t="s">
        <v>482</v>
      </c>
    </row>
    <row r="53">
      <c r="B53" s="18" t="s">
        <v>608</v>
      </c>
      <c r="C53" s="18">
        <v>10.0</v>
      </c>
      <c r="D53" s="1" t="s">
        <v>291</v>
      </c>
      <c r="E53" s="1" t="s">
        <v>482</v>
      </c>
    </row>
    <row r="54">
      <c r="B54" s="18" t="s">
        <v>609</v>
      </c>
      <c r="C54" s="18">
        <f>C48*(1-(1+8%)^-C53)/8%</f>
        <v>134201.628</v>
      </c>
      <c r="D54" s="1" t="s">
        <v>309</v>
      </c>
      <c r="E54" s="1" t="s">
        <v>548</v>
      </c>
    </row>
    <row r="55">
      <c r="B55" s="18" t="s">
        <v>486</v>
      </c>
      <c r="C55" s="33">
        <v>0.08</v>
      </c>
      <c r="E55" s="1" t="s">
        <v>482</v>
      </c>
    </row>
    <row r="57">
      <c r="B57" s="18" t="s">
        <v>610</v>
      </c>
      <c r="C57" s="72">
        <f>C43*(1-(1+8%)^-C53)/8%</f>
        <v>2458163.951</v>
      </c>
      <c r="D57" s="1" t="s">
        <v>309</v>
      </c>
      <c r="E57" s="1" t="s">
        <v>548</v>
      </c>
    </row>
    <row r="58">
      <c r="B58" s="18" t="s">
        <v>611</v>
      </c>
      <c r="C58" s="69">
        <f>C39*(1-(1+8%)^-C53)/8%</f>
        <v>58064.62327</v>
      </c>
      <c r="D58" s="1" t="s">
        <v>316</v>
      </c>
      <c r="E58" s="1" t="s">
        <v>548</v>
      </c>
    </row>
    <row r="59">
      <c r="B59" s="18" t="s">
        <v>612</v>
      </c>
      <c r="C59" s="54">
        <f>(C52+C54-C57)/C58</f>
        <v>-32.27373601</v>
      </c>
      <c r="D59" s="1" t="s">
        <v>613</v>
      </c>
      <c r="E59" s="1" t="s">
        <v>548</v>
      </c>
    </row>
    <row r="62">
      <c r="C62" s="6">
        <f>C58/10</f>
        <v>5806.462327</v>
      </c>
    </row>
  </sheetData>
  <mergeCells count="1">
    <mergeCell ref="I40:I42"/>
  </mergeCells>
  <dataValidations>
    <dataValidation type="list" allowBlank="1" showErrorMessage="1" sqref="C26">
      <formula1>"PNG,CNG,LPG"</formula1>
    </dataValidation>
  </dataValidations>
  <hyperlinks>
    <hyperlink r:id="rId1" ref="I40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4.63"/>
    <col customWidth="1" min="3" max="3" width="15.13"/>
    <col customWidth="1" min="4" max="4" width="14.25"/>
    <col customWidth="1" min="5" max="5" width="13.25"/>
    <col customWidth="1" min="6" max="6" width="15.38"/>
    <col customWidth="1" min="7" max="7" width="15.63"/>
    <col customWidth="1" min="8" max="8" width="19.13"/>
  </cols>
  <sheetData>
    <row r="3" ht="22.5" customHeight="1">
      <c r="B3" s="80" t="s">
        <v>614</v>
      </c>
      <c r="C3" s="80" t="s">
        <v>615</v>
      </c>
      <c r="D3" s="80" t="s">
        <v>616</v>
      </c>
      <c r="E3" s="80" t="s">
        <v>617</v>
      </c>
      <c r="F3" s="80" t="s">
        <v>618</v>
      </c>
      <c r="G3" s="80" t="s">
        <v>619</v>
      </c>
      <c r="H3" s="80" t="s">
        <v>620</v>
      </c>
    </row>
    <row r="4" ht="22.5" customHeight="1">
      <c r="B4" s="81" t="s">
        <v>621</v>
      </c>
      <c r="C4" s="81">
        <v>9.12</v>
      </c>
      <c r="D4" s="81">
        <v>6642.01</v>
      </c>
      <c r="E4" s="81">
        <v>12119.07</v>
      </c>
      <c r="F4" s="81">
        <f t="shared" ref="F4:F8" si="1">C4+D4</f>
        <v>6651.13</v>
      </c>
      <c r="G4" s="82">
        <f t="shared" ref="G4:G8" si="2">D4/F4</f>
        <v>0.9986288044</v>
      </c>
      <c r="H4" s="81">
        <v>9.32</v>
      </c>
    </row>
    <row r="5" ht="22.5" customHeight="1">
      <c r="B5" s="81" t="s">
        <v>622</v>
      </c>
      <c r="C5" s="81">
        <v>40.84</v>
      </c>
      <c r="D5" s="81">
        <v>4918.51</v>
      </c>
      <c r="E5" s="81">
        <v>14507.22</v>
      </c>
      <c r="F5" s="81">
        <f t="shared" si="1"/>
        <v>4959.35</v>
      </c>
      <c r="G5" s="82">
        <f t="shared" si="2"/>
        <v>0.9917650499</v>
      </c>
      <c r="H5" s="81">
        <v>30.7</v>
      </c>
    </row>
    <row r="6" ht="22.5" customHeight="1">
      <c r="B6" s="81" t="s">
        <v>623</v>
      </c>
      <c r="C6" s="81">
        <v>620.79</v>
      </c>
      <c r="D6" s="81">
        <v>2236.06</v>
      </c>
      <c r="E6" s="81">
        <v>12040.19</v>
      </c>
      <c r="F6" s="81">
        <f t="shared" si="1"/>
        <v>2856.85</v>
      </c>
      <c r="G6" s="82">
        <f t="shared" si="2"/>
        <v>0.7827012269</v>
      </c>
      <c r="H6" s="81">
        <v>8.69</v>
      </c>
    </row>
    <row r="7" ht="22.5" customHeight="1">
      <c r="B7" s="83" t="s">
        <v>624</v>
      </c>
      <c r="C7" s="83">
        <v>9.92</v>
      </c>
      <c r="D7" s="83">
        <v>589.47</v>
      </c>
      <c r="E7" s="83">
        <v>10313.49</v>
      </c>
      <c r="F7" s="83">
        <f t="shared" si="1"/>
        <v>599.39</v>
      </c>
      <c r="G7" s="84">
        <f t="shared" si="2"/>
        <v>0.9834498407</v>
      </c>
      <c r="H7" s="83">
        <v>12.1</v>
      </c>
    </row>
    <row r="8" ht="22.5" customHeight="1">
      <c r="B8" s="83" t="s">
        <v>625</v>
      </c>
      <c r="C8" s="83">
        <v>51.53</v>
      </c>
      <c r="D8" s="83">
        <v>1049.31</v>
      </c>
      <c r="E8" s="83">
        <v>9454.15</v>
      </c>
      <c r="F8" s="83">
        <f t="shared" si="1"/>
        <v>1100.84</v>
      </c>
      <c r="G8" s="84">
        <f t="shared" si="2"/>
        <v>0.9531902911</v>
      </c>
      <c r="H8" s="83">
        <v>9.04</v>
      </c>
    </row>
  </sheetData>
  <dataValidations>
    <dataValidation type="custom" allowBlank="1" showDropDown="1" sqref="G4:G8">
      <formula1>AND(ISNUMBER(G4),(NOT(OR(NOT(ISERROR(DATEVALUE(G4))), AND(ISNUMBER(G4), LEFT(CELL("format", G4))="D")))))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0.88"/>
    <col customWidth="1" min="4" max="4" width="37.25"/>
    <col customWidth="1" min="5" max="5" width="29.0"/>
    <col customWidth="1" min="6" max="6" width="24.75"/>
    <col customWidth="1" min="7" max="7" width="31.0"/>
    <col customWidth="1" min="9" max="9" width="21.63"/>
    <col customWidth="1" min="10" max="10" width="49.75"/>
  </cols>
  <sheetData>
    <row r="1">
      <c r="F1" s="85"/>
      <c r="G1" s="85"/>
    </row>
    <row r="2">
      <c r="F2" s="85"/>
      <c r="G2" s="85"/>
    </row>
    <row r="3">
      <c r="F3" s="85"/>
      <c r="G3" s="85"/>
    </row>
    <row r="4" ht="22.5" customHeight="1">
      <c r="B4" s="80" t="s">
        <v>614</v>
      </c>
      <c r="C4" s="80" t="s">
        <v>615</v>
      </c>
      <c r="D4" s="80" t="s">
        <v>616</v>
      </c>
      <c r="E4" s="80" t="s">
        <v>617</v>
      </c>
      <c r="F4" s="80" t="s">
        <v>618</v>
      </c>
      <c r="G4" s="80" t="s">
        <v>626</v>
      </c>
      <c r="I4" s="86" t="s">
        <v>627</v>
      </c>
      <c r="J4" s="87" t="s">
        <v>628</v>
      </c>
    </row>
    <row r="5" ht="22.5" customHeight="1">
      <c r="B5" s="88" t="s">
        <v>621</v>
      </c>
      <c r="C5" s="88">
        <v>9.12</v>
      </c>
      <c r="D5" s="88">
        <v>6642.01</v>
      </c>
      <c r="E5" s="88">
        <v>12119.07</v>
      </c>
      <c r="F5" s="88">
        <f t="shared" ref="F5:F9" si="1">C5+D5</f>
        <v>6651.13</v>
      </c>
      <c r="G5" s="89">
        <f t="shared" ref="G5:G9" si="2">D5/F5</f>
        <v>0.9986288044</v>
      </c>
      <c r="I5" s="90" t="s">
        <v>629</v>
      </c>
      <c r="J5" s="91" t="s">
        <v>630</v>
      </c>
    </row>
    <row r="6" ht="22.5" customHeight="1">
      <c r="B6" s="92" t="s">
        <v>622</v>
      </c>
      <c r="C6" s="92">
        <v>40.84</v>
      </c>
      <c r="D6" s="92">
        <v>4918.51</v>
      </c>
      <c r="E6" s="92">
        <v>14507.22</v>
      </c>
      <c r="F6" s="92">
        <f t="shared" si="1"/>
        <v>4959.35</v>
      </c>
      <c r="G6" s="93">
        <f t="shared" si="2"/>
        <v>0.9917650499</v>
      </c>
      <c r="I6" s="94" t="s">
        <v>631</v>
      </c>
      <c r="J6" s="95" t="s">
        <v>632</v>
      </c>
    </row>
    <row r="7" ht="22.5" customHeight="1">
      <c r="B7" s="88" t="s">
        <v>623</v>
      </c>
      <c r="C7" s="88">
        <v>620.79</v>
      </c>
      <c r="D7" s="88">
        <v>2236.06</v>
      </c>
      <c r="E7" s="88">
        <v>12040.19</v>
      </c>
      <c r="F7" s="88">
        <f t="shared" si="1"/>
        <v>2856.85</v>
      </c>
      <c r="G7" s="96">
        <f t="shared" si="2"/>
        <v>0.7827012269</v>
      </c>
      <c r="I7" s="97" t="s">
        <v>633</v>
      </c>
      <c r="J7" s="98" t="s">
        <v>634</v>
      </c>
    </row>
    <row r="8" ht="22.5" customHeight="1">
      <c r="B8" s="92" t="s">
        <v>624</v>
      </c>
      <c r="C8" s="92">
        <v>9.92</v>
      </c>
      <c r="D8" s="92">
        <v>589.47</v>
      </c>
      <c r="E8" s="92">
        <v>10313.49</v>
      </c>
      <c r="F8" s="92">
        <f t="shared" si="1"/>
        <v>599.39</v>
      </c>
      <c r="G8" s="93">
        <f t="shared" si="2"/>
        <v>0.9834498407</v>
      </c>
    </row>
    <row r="9" ht="22.5" customHeight="1">
      <c r="B9" s="88" t="s">
        <v>625</v>
      </c>
      <c r="C9" s="88">
        <v>51.53</v>
      </c>
      <c r="D9" s="88">
        <v>1049.31</v>
      </c>
      <c r="E9" s="88">
        <v>9454.15</v>
      </c>
      <c r="F9" s="88">
        <f t="shared" si="1"/>
        <v>1100.84</v>
      </c>
      <c r="G9" s="89">
        <f t="shared" si="2"/>
        <v>0.9531902911</v>
      </c>
    </row>
    <row r="10">
      <c r="F10" s="85"/>
      <c r="G10" s="85"/>
    </row>
    <row r="11">
      <c r="F11" s="85"/>
      <c r="G11" s="85"/>
    </row>
    <row r="12">
      <c r="F12" s="85"/>
      <c r="G12" s="85"/>
    </row>
    <row r="13" ht="73.5" customHeight="1">
      <c r="A13" s="7"/>
      <c r="B13" s="99" t="s">
        <v>614</v>
      </c>
      <c r="C13" s="99" t="s">
        <v>635</v>
      </c>
      <c r="D13" s="99" t="s">
        <v>636</v>
      </c>
      <c r="E13" s="99" t="s">
        <v>637</v>
      </c>
      <c r="F13" s="99" t="s">
        <v>638</v>
      </c>
      <c r="G13" s="99" t="s">
        <v>639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B14" s="100" t="s">
        <v>640</v>
      </c>
      <c r="C14" s="44" t="s">
        <v>641</v>
      </c>
      <c r="D14" s="42" t="s">
        <v>642</v>
      </c>
      <c r="E14" s="42" t="s">
        <v>643</v>
      </c>
      <c r="F14" s="101" t="s">
        <v>644</v>
      </c>
      <c r="G14" s="101" t="s">
        <v>645</v>
      </c>
    </row>
    <row r="15">
      <c r="B15" s="26"/>
      <c r="C15" s="44" t="s">
        <v>646</v>
      </c>
      <c r="D15" s="42" t="s">
        <v>647</v>
      </c>
      <c r="E15" s="42" t="s">
        <v>648</v>
      </c>
      <c r="F15" s="101" t="s">
        <v>649</v>
      </c>
      <c r="G15" s="101" t="s">
        <v>645</v>
      </c>
    </row>
    <row r="16">
      <c r="B16" s="26"/>
      <c r="C16" s="44" t="s">
        <v>646</v>
      </c>
      <c r="D16" s="42" t="s">
        <v>650</v>
      </c>
      <c r="E16" s="42" t="s">
        <v>651</v>
      </c>
      <c r="F16" s="101" t="s">
        <v>649</v>
      </c>
      <c r="G16" s="101" t="s">
        <v>645</v>
      </c>
    </row>
    <row r="17">
      <c r="B17" s="26"/>
      <c r="C17" s="44" t="s">
        <v>646</v>
      </c>
      <c r="D17" s="42" t="s">
        <v>652</v>
      </c>
      <c r="E17" s="42" t="s">
        <v>651</v>
      </c>
      <c r="F17" s="101" t="s">
        <v>649</v>
      </c>
      <c r="G17" s="101" t="s">
        <v>645</v>
      </c>
    </row>
    <row r="18">
      <c r="B18" s="26"/>
      <c r="C18" s="44" t="s">
        <v>646</v>
      </c>
      <c r="D18" s="42" t="s">
        <v>653</v>
      </c>
      <c r="E18" s="42" t="s">
        <v>651</v>
      </c>
      <c r="F18" s="101" t="s">
        <v>649</v>
      </c>
      <c r="G18" s="101" t="s">
        <v>645</v>
      </c>
    </row>
    <row r="19">
      <c r="B19" s="26"/>
      <c r="C19" s="44" t="s">
        <v>646</v>
      </c>
      <c r="D19" s="42" t="s">
        <v>654</v>
      </c>
      <c r="E19" s="42" t="s">
        <v>651</v>
      </c>
      <c r="F19" s="101" t="s">
        <v>655</v>
      </c>
      <c r="G19" s="101" t="s">
        <v>645</v>
      </c>
    </row>
    <row r="20">
      <c r="B20" s="26"/>
      <c r="C20" s="44" t="s">
        <v>646</v>
      </c>
      <c r="D20" s="42" t="s">
        <v>656</v>
      </c>
      <c r="E20" s="42" t="s">
        <v>651</v>
      </c>
      <c r="F20" s="101" t="s">
        <v>644</v>
      </c>
      <c r="G20" s="101" t="s">
        <v>645</v>
      </c>
    </row>
    <row r="21">
      <c r="B21" s="26"/>
      <c r="C21" s="44" t="s">
        <v>646</v>
      </c>
      <c r="D21" s="42" t="s">
        <v>657</v>
      </c>
      <c r="E21" s="42" t="s">
        <v>651</v>
      </c>
      <c r="F21" s="101" t="s">
        <v>644</v>
      </c>
      <c r="G21" s="101" t="s">
        <v>645</v>
      </c>
    </row>
    <row r="22">
      <c r="B22" s="26"/>
      <c r="C22" s="44" t="s">
        <v>646</v>
      </c>
      <c r="D22" s="42" t="s">
        <v>658</v>
      </c>
      <c r="E22" s="42" t="s">
        <v>651</v>
      </c>
      <c r="F22" s="101" t="s">
        <v>655</v>
      </c>
      <c r="G22" s="101" t="s">
        <v>645</v>
      </c>
    </row>
    <row r="23">
      <c r="B23" s="26"/>
      <c r="C23" s="44" t="s">
        <v>646</v>
      </c>
      <c r="D23" s="42" t="s">
        <v>659</v>
      </c>
      <c r="E23" s="42" t="s">
        <v>651</v>
      </c>
      <c r="F23" s="101" t="s">
        <v>655</v>
      </c>
      <c r="G23" s="101" t="s">
        <v>645</v>
      </c>
    </row>
    <row r="24">
      <c r="B24" s="26"/>
      <c r="C24" s="44" t="s">
        <v>660</v>
      </c>
      <c r="D24" s="42" t="s">
        <v>661</v>
      </c>
      <c r="E24" s="42" t="s">
        <v>662</v>
      </c>
      <c r="F24" s="102" t="s">
        <v>663</v>
      </c>
      <c r="G24" s="102" t="s">
        <v>664</v>
      </c>
    </row>
    <row r="25">
      <c r="B25" s="26"/>
      <c r="C25" s="45" t="s">
        <v>665</v>
      </c>
      <c r="D25" s="42" t="s">
        <v>666</v>
      </c>
      <c r="E25" s="42" t="s">
        <v>651</v>
      </c>
      <c r="F25" s="102" t="s">
        <v>644</v>
      </c>
      <c r="G25" s="102" t="s">
        <v>667</v>
      </c>
    </row>
    <row r="26">
      <c r="B26" s="26"/>
      <c r="C26" s="45" t="s">
        <v>665</v>
      </c>
      <c r="D26" s="42" t="s">
        <v>668</v>
      </c>
      <c r="E26" s="42" t="s">
        <v>651</v>
      </c>
      <c r="F26" s="102" t="s">
        <v>644</v>
      </c>
      <c r="G26" s="102" t="s">
        <v>645</v>
      </c>
    </row>
    <row r="27">
      <c r="B27" s="26"/>
      <c r="C27" s="45" t="s">
        <v>665</v>
      </c>
      <c r="D27" s="42" t="s">
        <v>669</v>
      </c>
      <c r="E27" s="42" t="s">
        <v>651</v>
      </c>
      <c r="F27" s="103" t="s">
        <v>655</v>
      </c>
      <c r="G27" s="103" t="s">
        <v>645</v>
      </c>
    </row>
    <row r="28" ht="52.5" customHeight="1">
      <c r="B28" s="26"/>
      <c r="C28" s="45" t="s">
        <v>665</v>
      </c>
      <c r="D28" s="45" t="s">
        <v>670</v>
      </c>
      <c r="E28" s="42" t="s">
        <v>651</v>
      </c>
      <c r="F28" s="102" t="s">
        <v>644</v>
      </c>
      <c r="G28" s="102" t="s">
        <v>667</v>
      </c>
    </row>
    <row r="29">
      <c r="B29" s="26"/>
      <c r="C29" s="45" t="s">
        <v>665</v>
      </c>
      <c r="D29" s="44" t="s">
        <v>671</v>
      </c>
      <c r="E29" s="42" t="s">
        <v>651</v>
      </c>
      <c r="F29" s="101" t="s">
        <v>655</v>
      </c>
      <c r="G29" s="101" t="s">
        <v>645</v>
      </c>
    </row>
    <row r="30">
      <c r="B30" s="26"/>
      <c r="C30" s="44" t="s">
        <v>672</v>
      </c>
      <c r="D30" s="42" t="s">
        <v>673</v>
      </c>
      <c r="E30" s="42" t="s">
        <v>651</v>
      </c>
      <c r="F30" s="103" t="s">
        <v>649</v>
      </c>
      <c r="G30" s="103" t="s">
        <v>645</v>
      </c>
    </row>
    <row r="31">
      <c r="B31" s="27"/>
      <c r="C31" s="44" t="s">
        <v>674</v>
      </c>
      <c r="D31" s="42" t="s">
        <v>675</v>
      </c>
      <c r="E31" s="42" t="s">
        <v>651</v>
      </c>
      <c r="F31" s="102" t="s">
        <v>676</v>
      </c>
      <c r="G31" s="102" t="s">
        <v>645</v>
      </c>
    </row>
    <row r="32">
      <c r="F32" s="85"/>
      <c r="G32" s="85"/>
    </row>
    <row r="33">
      <c r="F33" s="85"/>
      <c r="G33" s="85"/>
    </row>
    <row r="34">
      <c r="F34" s="85"/>
      <c r="G34" s="85"/>
    </row>
    <row r="35">
      <c r="F35" s="85"/>
      <c r="G35" s="85"/>
    </row>
    <row r="36">
      <c r="F36" s="85"/>
      <c r="G36" s="85"/>
    </row>
    <row r="37">
      <c r="F37" s="85"/>
      <c r="G37" s="85"/>
    </row>
    <row r="38">
      <c r="F38" s="85"/>
      <c r="G38" s="85"/>
    </row>
    <row r="39">
      <c r="F39" s="85"/>
      <c r="G39" s="85"/>
    </row>
    <row r="40">
      <c r="F40" s="85"/>
      <c r="G40" s="85"/>
    </row>
    <row r="41">
      <c r="F41" s="85"/>
      <c r="G41" s="85"/>
    </row>
    <row r="42">
      <c r="F42" s="85"/>
      <c r="G42" s="85"/>
    </row>
    <row r="43">
      <c r="F43" s="85"/>
      <c r="G43" s="85"/>
    </row>
    <row r="44">
      <c r="F44" s="85"/>
      <c r="G44" s="85"/>
    </row>
    <row r="45">
      <c r="F45" s="85"/>
      <c r="G45" s="85"/>
    </row>
    <row r="46">
      <c r="F46" s="85"/>
      <c r="G46" s="85"/>
    </row>
    <row r="47">
      <c r="F47" s="85"/>
      <c r="G47" s="85"/>
    </row>
    <row r="48">
      <c r="F48" s="85"/>
      <c r="G48" s="85"/>
    </row>
    <row r="49">
      <c r="F49" s="85"/>
      <c r="G49" s="85"/>
    </row>
    <row r="50">
      <c r="F50" s="85"/>
      <c r="G50" s="85"/>
    </row>
    <row r="51">
      <c r="F51" s="85"/>
      <c r="G51" s="85"/>
    </row>
    <row r="52">
      <c r="F52" s="85"/>
      <c r="G52" s="85"/>
    </row>
    <row r="53">
      <c r="F53" s="85"/>
      <c r="G53" s="85"/>
    </row>
    <row r="54">
      <c r="F54" s="85"/>
      <c r="G54" s="85"/>
    </row>
    <row r="55">
      <c r="F55" s="85"/>
      <c r="G55" s="85"/>
    </row>
    <row r="56">
      <c r="F56" s="85"/>
      <c r="G56" s="85"/>
    </row>
    <row r="57">
      <c r="F57" s="85"/>
      <c r="G57" s="85"/>
    </row>
    <row r="58">
      <c r="F58" s="85"/>
      <c r="G58" s="85"/>
    </row>
    <row r="59">
      <c r="F59" s="85"/>
      <c r="G59" s="85"/>
    </row>
    <row r="60">
      <c r="F60" s="85"/>
      <c r="G60" s="85"/>
    </row>
    <row r="61">
      <c r="F61" s="85"/>
      <c r="G61" s="85"/>
    </row>
    <row r="62">
      <c r="F62" s="85"/>
      <c r="G62" s="85"/>
    </row>
    <row r="63">
      <c r="F63" s="85"/>
      <c r="G63" s="85"/>
    </row>
    <row r="64">
      <c r="F64" s="85"/>
      <c r="G64" s="85"/>
    </row>
    <row r="65">
      <c r="F65" s="85"/>
      <c r="G65" s="85"/>
    </row>
    <row r="66">
      <c r="F66" s="85"/>
      <c r="G66" s="85"/>
    </row>
    <row r="67">
      <c r="F67" s="85"/>
      <c r="G67" s="85"/>
    </row>
    <row r="68">
      <c r="F68" s="85"/>
      <c r="G68" s="85"/>
    </row>
    <row r="69">
      <c r="F69" s="85"/>
      <c r="G69" s="85"/>
    </row>
    <row r="70">
      <c r="F70" s="85"/>
      <c r="G70" s="85"/>
    </row>
    <row r="71">
      <c r="F71" s="85"/>
      <c r="G71" s="85"/>
    </row>
    <row r="72">
      <c r="F72" s="85"/>
      <c r="G72" s="85"/>
    </row>
    <row r="73">
      <c r="F73" s="85"/>
      <c r="G73" s="85"/>
    </row>
    <row r="74">
      <c r="F74" s="85"/>
      <c r="G74" s="85"/>
    </row>
    <row r="75">
      <c r="F75" s="85"/>
      <c r="G75" s="85"/>
    </row>
    <row r="76">
      <c r="F76" s="85"/>
      <c r="G76" s="85"/>
    </row>
    <row r="77">
      <c r="F77" s="85"/>
      <c r="G77" s="85"/>
    </row>
    <row r="78">
      <c r="F78" s="85"/>
      <c r="G78" s="85"/>
    </row>
    <row r="79">
      <c r="F79" s="85"/>
      <c r="G79" s="85"/>
    </row>
    <row r="80">
      <c r="F80" s="85"/>
      <c r="G80" s="85"/>
    </row>
    <row r="81">
      <c r="F81" s="85"/>
      <c r="G81" s="85"/>
    </row>
    <row r="82">
      <c r="F82" s="85"/>
      <c r="G82" s="85"/>
    </row>
    <row r="83">
      <c r="F83" s="85"/>
      <c r="G83" s="85"/>
    </row>
    <row r="84">
      <c r="F84" s="85"/>
      <c r="G84" s="85"/>
    </row>
    <row r="85">
      <c r="F85" s="85"/>
      <c r="G85" s="85"/>
    </row>
    <row r="86">
      <c r="F86" s="85"/>
      <c r="G86" s="85"/>
    </row>
    <row r="87">
      <c r="F87" s="85"/>
      <c r="G87" s="85"/>
    </row>
    <row r="88">
      <c r="F88" s="85"/>
      <c r="G88" s="85"/>
    </row>
    <row r="89">
      <c r="F89" s="85"/>
      <c r="G89" s="85"/>
    </row>
    <row r="90">
      <c r="F90" s="85"/>
      <c r="G90" s="85"/>
    </row>
    <row r="91">
      <c r="F91" s="85"/>
      <c r="G91" s="85"/>
    </row>
    <row r="92">
      <c r="F92" s="85"/>
      <c r="G92" s="85"/>
    </row>
    <row r="93">
      <c r="F93" s="85"/>
      <c r="G93" s="85"/>
    </row>
    <row r="94">
      <c r="F94" s="85"/>
      <c r="G94" s="85"/>
    </row>
    <row r="95">
      <c r="F95" s="85"/>
      <c r="G95" s="85"/>
    </row>
    <row r="96">
      <c r="F96" s="85"/>
      <c r="G96" s="85"/>
    </row>
    <row r="97">
      <c r="F97" s="85"/>
      <c r="G97" s="85"/>
    </row>
    <row r="98">
      <c r="F98" s="85"/>
      <c r="G98" s="85"/>
    </row>
    <row r="99">
      <c r="F99" s="85"/>
      <c r="G99" s="85"/>
    </row>
    <row r="100">
      <c r="F100" s="85"/>
      <c r="G100" s="85"/>
    </row>
    <row r="101">
      <c r="F101" s="85"/>
      <c r="G101" s="85"/>
    </row>
    <row r="102">
      <c r="F102" s="85"/>
      <c r="G102" s="85"/>
    </row>
    <row r="103">
      <c r="F103" s="85"/>
      <c r="G103" s="85"/>
    </row>
    <row r="104">
      <c r="F104" s="85"/>
      <c r="G104" s="85"/>
    </row>
    <row r="105">
      <c r="F105" s="85"/>
      <c r="G105" s="85"/>
    </row>
    <row r="106">
      <c r="F106" s="85"/>
      <c r="G106" s="85"/>
    </row>
    <row r="107">
      <c r="F107" s="85"/>
      <c r="G107" s="85"/>
    </row>
    <row r="108">
      <c r="F108" s="85"/>
      <c r="G108" s="85"/>
    </row>
    <row r="109">
      <c r="F109" s="85"/>
      <c r="G109" s="85"/>
    </row>
    <row r="110">
      <c r="F110" s="85"/>
      <c r="G110" s="85"/>
    </row>
    <row r="111">
      <c r="F111" s="85"/>
      <c r="G111" s="85"/>
    </row>
    <row r="112">
      <c r="F112" s="85"/>
      <c r="G112" s="85"/>
    </row>
    <row r="113">
      <c r="F113" s="85"/>
      <c r="G113" s="85"/>
    </row>
    <row r="114">
      <c r="F114" s="85"/>
      <c r="G114" s="85"/>
    </row>
    <row r="115">
      <c r="F115" s="85"/>
      <c r="G115" s="85"/>
    </row>
    <row r="116">
      <c r="F116" s="85"/>
      <c r="G116" s="85"/>
    </row>
    <row r="117">
      <c r="F117" s="85"/>
      <c r="G117" s="85"/>
    </row>
    <row r="118">
      <c r="F118" s="85"/>
      <c r="G118" s="85"/>
    </row>
    <row r="119">
      <c r="F119" s="85"/>
      <c r="G119" s="85"/>
    </row>
    <row r="120">
      <c r="F120" s="85"/>
      <c r="G120" s="85"/>
    </row>
    <row r="121">
      <c r="F121" s="85"/>
      <c r="G121" s="85"/>
    </row>
    <row r="122">
      <c r="F122" s="85"/>
      <c r="G122" s="85"/>
    </row>
    <row r="123">
      <c r="F123" s="85"/>
      <c r="G123" s="85"/>
    </row>
    <row r="124">
      <c r="F124" s="85"/>
      <c r="G124" s="85"/>
    </row>
    <row r="125">
      <c r="F125" s="85"/>
      <c r="G125" s="85"/>
    </row>
    <row r="126">
      <c r="F126" s="85"/>
      <c r="G126" s="85"/>
    </row>
    <row r="127">
      <c r="F127" s="85"/>
      <c r="G127" s="85"/>
    </row>
    <row r="128">
      <c r="F128" s="85"/>
      <c r="G128" s="85"/>
    </row>
    <row r="129">
      <c r="F129" s="85"/>
      <c r="G129" s="85"/>
    </row>
    <row r="130">
      <c r="F130" s="85"/>
      <c r="G130" s="85"/>
    </row>
    <row r="131">
      <c r="F131" s="85"/>
      <c r="G131" s="85"/>
    </row>
    <row r="132">
      <c r="F132" s="85"/>
      <c r="G132" s="85"/>
    </row>
    <row r="133">
      <c r="F133" s="85"/>
      <c r="G133" s="85"/>
    </row>
    <row r="134">
      <c r="F134" s="85"/>
      <c r="G134" s="85"/>
    </row>
    <row r="135">
      <c r="F135" s="85"/>
      <c r="G135" s="85"/>
    </row>
    <row r="136">
      <c r="F136" s="85"/>
      <c r="G136" s="85"/>
    </row>
    <row r="137">
      <c r="F137" s="85"/>
      <c r="G137" s="85"/>
    </row>
    <row r="138">
      <c r="F138" s="85"/>
      <c r="G138" s="85"/>
    </row>
    <row r="139">
      <c r="F139" s="85"/>
      <c r="G139" s="85"/>
    </row>
    <row r="140">
      <c r="F140" s="85"/>
      <c r="G140" s="85"/>
    </row>
    <row r="141">
      <c r="F141" s="85"/>
      <c r="G141" s="85"/>
    </row>
    <row r="142">
      <c r="F142" s="85"/>
      <c r="G142" s="85"/>
    </row>
    <row r="143">
      <c r="F143" s="85"/>
      <c r="G143" s="85"/>
    </row>
    <row r="144">
      <c r="F144" s="85"/>
      <c r="G144" s="85"/>
    </row>
    <row r="145">
      <c r="F145" s="85"/>
      <c r="G145" s="85"/>
    </row>
    <row r="146">
      <c r="F146" s="85"/>
      <c r="G146" s="85"/>
    </row>
    <row r="147">
      <c r="F147" s="85"/>
      <c r="G147" s="85"/>
    </row>
    <row r="148">
      <c r="F148" s="85"/>
      <c r="G148" s="85"/>
    </row>
    <row r="149">
      <c r="F149" s="85"/>
      <c r="G149" s="85"/>
    </row>
    <row r="150">
      <c r="F150" s="85"/>
      <c r="G150" s="85"/>
    </row>
    <row r="151">
      <c r="F151" s="85"/>
      <c r="G151" s="85"/>
    </row>
    <row r="152">
      <c r="F152" s="85"/>
      <c r="G152" s="85"/>
    </row>
    <row r="153">
      <c r="F153" s="85"/>
      <c r="G153" s="85"/>
    </row>
    <row r="154">
      <c r="F154" s="85"/>
      <c r="G154" s="85"/>
    </row>
    <row r="155">
      <c r="F155" s="85"/>
      <c r="G155" s="85"/>
    </row>
    <row r="156">
      <c r="F156" s="85"/>
      <c r="G156" s="85"/>
    </row>
    <row r="157">
      <c r="F157" s="85"/>
      <c r="G157" s="85"/>
    </row>
    <row r="158">
      <c r="F158" s="85"/>
      <c r="G158" s="85"/>
    </row>
    <row r="159">
      <c r="F159" s="85"/>
      <c r="G159" s="85"/>
    </row>
    <row r="160">
      <c r="F160" s="85"/>
      <c r="G160" s="85"/>
    </row>
    <row r="161">
      <c r="F161" s="85"/>
      <c r="G161" s="85"/>
    </row>
    <row r="162">
      <c r="F162" s="85"/>
      <c r="G162" s="85"/>
    </row>
    <row r="163">
      <c r="F163" s="85"/>
      <c r="G163" s="85"/>
    </row>
    <row r="164">
      <c r="F164" s="85"/>
      <c r="G164" s="85"/>
    </row>
    <row r="165">
      <c r="F165" s="85"/>
      <c r="G165" s="85"/>
    </row>
    <row r="166">
      <c r="F166" s="85"/>
      <c r="G166" s="85"/>
    </row>
    <row r="167">
      <c r="F167" s="85"/>
      <c r="G167" s="85"/>
    </row>
    <row r="168">
      <c r="F168" s="85"/>
      <c r="G168" s="85"/>
    </row>
    <row r="169">
      <c r="F169" s="85"/>
      <c r="G169" s="85"/>
    </row>
    <row r="170">
      <c r="F170" s="85"/>
      <c r="G170" s="85"/>
    </row>
    <row r="171">
      <c r="F171" s="85"/>
      <c r="G171" s="85"/>
    </row>
    <row r="172">
      <c r="F172" s="85"/>
      <c r="G172" s="85"/>
    </row>
    <row r="173">
      <c r="F173" s="85"/>
      <c r="G173" s="85"/>
    </row>
    <row r="174">
      <c r="F174" s="85"/>
      <c r="G174" s="85"/>
    </row>
    <row r="175">
      <c r="F175" s="85"/>
      <c r="G175" s="85"/>
    </row>
    <row r="176">
      <c r="F176" s="85"/>
      <c r="G176" s="85"/>
    </row>
    <row r="177">
      <c r="F177" s="85"/>
      <c r="G177" s="85"/>
    </row>
    <row r="178">
      <c r="F178" s="85"/>
      <c r="G178" s="85"/>
    </row>
    <row r="179">
      <c r="F179" s="85"/>
      <c r="G179" s="85"/>
    </row>
    <row r="180">
      <c r="F180" s="85"/>
      <c r="G180" s="85"/>
    </row>
    <row r="181">
      <c r="F181" s="85"/>
      <c r="G181" s="85"/>
    </row>
    <row r="182">
      <c r="F182" s="85"/>
      <c r="G182" s="85"/>
    </row>
    <row r="183">
      <c r="F183" s="85"/>
      <c r="G183" s="85"/>
    </row>
    <row r="184">
      <c r="F184" s="85"/>
      <c r="G184" s="85"/>
    </row>
    <row r="185">
      <c r="F185" s="85"/>
      <c r="G185" s="85"/>
    </row>
    <row r="186">
      <c r="F186" s="85"/>
      <c r="G186" s="85"/>
    </row>
    <row r="187">
      <c r="F187" s="85"/>
      <c r="G187" s="85"/>
    </row>
    <row r="188">
      <c r="F188" s="85"/>
      <c r="G188" s="85"/>
    </row>
    <row r="189">
      <c r="F189" s="85"/>
      <c r="G189" s="85"/>
    </row>
    <row r="190">
      <c r="F190" s="85"/>
      <c r="G190" s="85"/>
    </row>
    <row r="191">
      <c r="F191" s="85"/>
      <c r="G191" s="85"/>
    </row>
    <row r="192">
      <c r="F192" s="85"/>
      <c r="G192" s="85"/>
    </row>
    <row r="193">
      <c r="F193" s="85"/>
      <c r="G193" s="85"/>
    </row>
    <row r="194">
      <c r="F194" s="85"/>
      <c r="G194" s="85"/>
    </row>
    <row r="195">
      <c r="F195" s="85"/>
      <c r="G195" s="85"/>
    </row>
    <row r="196">
      <c r="F196" s="85"/>
      <c r="G196" s="85"/>
    </row>
    <row r="197">
      <c r="F197" s="85"/>
      <c r="G197" s="85"/>
    </row>
    <row r="198">
      <c r="F198" s="85"/>
      <c r="G198" s="85"/>
    </row>
    <row r="199">
      <c r="F199" s="85"/>
      <c r="G199" s="85"/>
    </row>
    <row r="200">
      <c r="F200" s="85"/>
      <c r="G200" s="85"/>
    </row>
    <row r="201">
      <c r="F201" s="85"/>
      <c r="G201" s="85"/>
    </row>
    <row r="202">
      <c r="F202" s="85"/>
      <c r="G202" s="85"/>
    </row>
    <row r="203">
      <c r="F203" s="85"/>
      <c r="G203" s="85"/>
    </row>
    <row r="204">
      <c r="F204" s="85"/>
      <c r="G204" s="85"/>
    </row>
    <row r="205">
      <c r="F205" s="85"/>
      <c r="G205" s="85"/>
    </row>
    <row r="206">
      <c r="F206" s="85"/>
      <c r="G206" s="85"/>
    </row>
    <row r="207">
      <c r="F207" s="85"/>
      <c r="G207" s="85"/>
    </row>
    <row r="208">
      <c r="F208" s="85"/>
      <c r="G208" s="85"/>
    </row>
    <row r="209">
      <c r="F209" s="85"/>
      <c r="G209" s="85"/>
    </row>
    <row r="210">
      <c r="F210" s="85"/>
      <c r="G210" s="85"/>
    </row>
    <row r="211">
      <c r="F211" s="85"/>
      <c r="G211" s="85"/>
    </row>
    <row r="212">
      <c r="F212" s="85"/>
      <c r="G212" s="85"/>
    </row>
    <row r="213">
      <c r="F213" s="85"/>
      <c r="G213" s="85"/>
    </row>
    <row r="214">
      <c r="F214" s="85"/>
      <c r="G214" s="85"/>
    </row>
    <row r="215">
      <c r="F215" s="85"/>
      <c r="G215" s="85"/>
    </row>
    <row r="216">
      <c r="F216" s="85"/>
      <c r="G216" s="85"/>
    </row>
    <row r="217">
      <c r="F217" s="85"/>
      <c r="G217" s="85"/>
    </row>
    <row r="218">
      <c r="F218" s="85"/>
      <c r="G218" s="85"/>
    </row>
    <row r="219">
      <c r="F219" s="85"/>
      <c r="G219" s="85"/>
    </row>
    <row r="220">
      <c r="F220" s="85"/>
      <c r="G220" s="85"/>
    </row>
    <row r="221">
      <c r="F221" s="85"/>
      <c r="G221" s="85"/>
    </row>
    <row r="222">
      <c r="F222" s="85"/>
      <c r="G222" s="85"/>
    </row>
    <row r="223">
      <c r="F223" s="85"/>
      <c r="G223" s="85"/>
    </row>
    <row r="224">
      <c r="F224" s="85"/>
      <c r="G224" s="85"/>
    </row>
    <row r="225">
      <c r="F225" s="85"/>
      <c r="G225" s="85"/>
    </row>
    <row r="226">
      <c r="F226" s="85"/>
      <c r="G226" s="85"/>
    </row>
    <row r="227">
      <c r="F227" s="85"/>
      <c r="G227" s="85"/>
    </row>
    <row r="228">
      <c r="F228" s="85"/>
      <c r="G228" s="85"/>
    </row>
    <row r="229">
      <c r="F229" s="85"/>
      <c r="G229" s="85"/>
    </row>
    <row r="230">
      <c r="F230" s="85"/>
      <c r="G230" s="85"/>
    </row>
    <row r="231">
      <c r="F231" s="85"/>
      <c r="G231" s="85"/>
    </row>
    <row r="232">
      <c r="F232" s="85"/>
      <c r="G232" s="85"/>
    </row>
    <row r="233">
      <c r="F233" s="85"/>
      <c r="G233" s="85"/>
    </row>
    <row r="234">
      <c r="F234" s="85"/>
      <c r="G234" s="85"/>
    </row>
    <row r="235">
      <c r="F235" s="85"/>
      <c r="G235" s="85"/>
    </row>
    <row r="236">
      <c r="F236" s="85"/>
      <c r="G236" s="85"/>
    </row>
    <row r="237">
      <c r="F237" s="85"/>
      <c r="G237" s="85"/>
    </row>
    <row r="238">
      <c r="F238" s="85"/>
      <c r="G238" s="85"/>
    </row>
    <row r="239">
      <c r="F239" s="85"/>
      <c r="G239" s="85"/>
    </row>
    <row r="240">
      <c r="F240" s="85"/>
      <c r="G240" s="85"/>
    </row>
    <row r="241">
      <c r="F241" s="85"/>
      <c r="G241" s="85"/>
    </row>
    <row r="242">
      <c r="F242" s="85"/>
      <c r="G242" s="85"/>
    </row>
    <row r="243">
      <c r="F243" s="85"/>
      <c r="G243" s="85"/>
    </row>
    <row r="244">
      <c r="F244" s="85"/>
      <c r="G244" s="85"/>
    </row>
    <row r="245">
      <c r="F245" s="85"/>
      <c r="G245" s="85"/>
    </row>
    <row r="246">
      <c r="F246" s="85"/>
      <c r="G246" s="85"/>
    </row>
    <row r="247">
      <c r="F247" s="85"/>
      <c r="G247" s="85"/>
    </row>
    <row r="248">
      <c r="F248" s="85"/>
      <c r="G248" s="85"/>
    </row>
    <row r="249">
      <c r="F249" s="85"/>
      <c r="G249" s="85"/>
    </row>
    <row r="250">
      <c r="F250" s="85"/>
      <c r="G250" s="85"/>
    </row>
    <row r="251">
      <c r="F251" s="85"/>
      <c r="G251" s="85"/>
    </row>
    <row r="252">
      <c r="F252" s="85"/>
      <c r="G252" s="85"/>
    </row>
    <row r="253">
      <c r="F253" s="85"/>
      <c r="G253" s="85"/>
    </row>
    <row r="254">
      <c r="F254" s="85"/>
      <c r="G254" s="85"/>
    </row>
    <row r="255">
      <c r="F255" s="85"/>
      <c r="G255" s="85"/>
    </row>
    <row r="256">
      <c r="F256" s="85"/>
      <c r="G256" s="85"/>
    </row>
    <row r="257">
      <c r="F257" s="85"/>
      <c r="G257" s="85"/>
    </row>
    <row r="258">
      <c r="F258" s="85"/>
      <c r="G258" s="85"/>
    </row>
    <row r="259">
      <c r="F259" s="85"/>
      <c r="G259" s="85"/>
    </row>
    <row r="260">
      <c r="F260" s="85"/>
      <c r="G260" s="85"/>
    </row>
    <row r="261">
      <c r="F261" s="85"/>
      <c r="G261" s="85"/>
    </row>
    <row r="262">
      <c r="F262" s="85"/>
      <c r="G262" s="85"/>
    </row>
    <row r="263">
      <c r="F263" s="85"/>
      <c r="G263" s="85"/>
    </row>
    <row r="264">
      <c r="F264" s="85"/>
      <c r="G264" s="85"/>
    </row>
    <row r="265">
      <c r="F265" s="85"/>
      <c r="G265" s="85"/>
    </row>
    <row r="266">
      <c r="F266" s="85"/>
      <c r="G266" s="85"/>
    </row>
    <row r="267">
      <c r="F267" s="85"/>
      <c r="G267" s="85"/>
    </row>
    <row r="268">
      <c r="F268" s="85"/>
      <c r="G268" s="85"/>
    </row>
    <row r="269">
      <c r="F269" s="85"/>
      <c r="G269" s="85"/>
    </row>
    <row r="270">
      <c r="F270" s="85"/>
      <c r="G270" s="85"/>
    </row>
    <row r="271">
      <c r="F271" s="85"/>
      <c r="G271" s="85"/>
    </row>
    <row r="272">
      <c r="F272" s="85"/>
      <c r="G272" s="85"/>
    </row>
    <row r="273">
      <c r="F273" s="85"/>
      <c r="G273" s="85"/>
    </row>
    <row r="274">
      <c r="F274" s="85"/>
      <c r="G274" s="85"/>
    </row>
    <row r="275">
      <c r="F275" s="85"/>
      <c r="G275" s="85"/>
    </row>
    <row r="276">
      <c r="F276" s="85"/>
      <c r="G276" s="85"/>
    </row>
    <row r="277">
      <c r="F277" s="85"/>
      <c r="G277" s="85"/>
    </row>
    <row r="278">
      <c r="F278" s="85"/>
      <c r="G278" s="85"/>
    </row>
    <row r="279">
      <c r="F279" s="85"/>
      <c r="G279" s="85"/>
    </row>
    <row r="280">
      <c r="F280" s="85"/>
      <c r="G280" s="85"/>
    </row>
    <row r="281">
      <c r="F281" s="85"/>
      <c r="G281" s="85"/>
    </row>
    <row r="282">
      <c r="F282" s="85"/>
      <c r="G282" s="85"/>
    </row>
    <row r="283">
      <c r="F283" s="85"/>
      <c r="G283" s="85"/>
    </row>
    <row r="284">
      <c r="F284" s="85"/>
      <c r="G284" s="85"/>
    </row>
    <row r="285">
      <c r="F285" s="85"/>
      <c r="G285" s="85"/>
    </row>
    <row r="286">
      <c r="F286" s="85"/>
      <c r="G286" s="85"/>
    </row>
    <row r="287">
      <c r="F287" s="85"/>
      <c r="G287" s="85"/>
    </row>
    <row r="288">
      <c r="F288" s="85"/>
      <c r="G288" s="85"/>
    </row>
    <row r="289">
      <c r="F289" s="85"/>
      <c r="G289" s="85"/>
    </row>
    <row r="290">
      <c r="F290" s="85"/>
      <c r="G290" s="85"/>
    </row>
    <row r="291">
      <c r="F291" s="85"/>
      <c r="G291" s="85"/>
    </row>
    <row r="292">
      <c r="F292" s="85"/>
      <c r="G292" s="85"/>
    </row>
    <row r="293">
      <c r="F293" s="85"/>
      <c r="G293" s="85"/>
    </row>
    <row r="294">
      <c r="F294" s="85"/>
      <c r="G294" s="85"/>
    </row>
    <row r="295">
      <c r="F295" s="85"/>
      <c r="G295" s="85"/>
    </row>
    <row r="296">
      <c r="F296" s="85"/>
      <c r="G296" s="85"/>
    </row>
    <row r="297">
      <c r="F297" s="85"/>
      <c r="G297" s="85"/>
    </row>
    <row r="298">
      <c r="F298" s="85"/>
      <c r="G298" s="85"/>
    </row>
    <row r="299">
      <c r="F299" s="85"/>
      <c r="G299" s="85"/>
    </row>
    <row r="300">
      <c r="F300" s="85"/>
      <c r="G300" s="85"/>
    </row>
    <row r="301">
      <c r="F301" s="85"/>
      <c r="G301" s="85"/>
    </row>
    <row r="302">
      <c r="F302" s="85"/>
      <c r="G302" s="85"/>
    </row>
    <row r="303">
      <c r="F303" s="85"/>
      <c r="G303" s="85"/>
    </row>
    <row r="304">
      <c r="F304" s="85"/>
      <c r="G304" s="85"/>
    </row>
    <row r="305">
      <c r="F305" s="85"/>
      <c r="G305" s="85"/>
    </row>
    <row r="306">
      <c r="F306" s="85"/>
      <c r="G306" s="85"/>
    </row>
    <row r="307">
      <c r="F307" s="85"/>
      <c r="G307" s="85"/>
    </row>
    <row r="308">
      <c r="F308" s="85"/>
      <c r="G308" s="85"/>
    </row>
    <row r="309">
      <c r="F309" s="85"/>
      <c r="G309" s="85"/>
    </row>
    <row r="310">
      <c r="F310" s="85"/>
      <c r="G310" s="85"/>
    </row>
    <row r="311">
      <c r="F311" s="85"/>
      <c r="G311" s="85"/>
    </row>
    <row r="312">
      <c r="F312" s="85"/>
      <c r="G312" s="85"/>
    </row>
    <row r="313">
      <c r="F313" s="85"/>
      <c r="G313" s="85"/>
    </row>
    <row r="314">
      <c r="F314" s="85"/>
      <c r="G314" s="85"/>
    </row>
    <row r="315">
      <c r="F315" s="85"/>
      <c r="G315" s="85"/>
    </row>
    <row r="316">
      <c r="F316" s="85"/>
      <c r="G316" s="85"/>
    </row>
    <row r="317">
      <c r="F317" s="85"/>
      <c r="G317" s="85"/>
    </row>
    <row r="318">
      <c r="F318" s="85"/>
      <c r="G318" s="85"/>
    </row>
    <row r="319">
      <c r="F319" s="85"/>
      <c r="G319" s="85"/>
    </row>
    <row r="320">
      <c r="F320" s="85"/>
      <c r="G320" s="85"/>
    </row>
    <row r="321">
      <c r="F321" s="85"/>
      <c r="G321" s="85"/>
    </row>
    <row r="322">
      <c r="F322" s="85"/>
      <c r="G322" s="85"/>
    </row>
    <row r="323">
      <c r="F323" s="85"/>
      <c r="G323" s="85"/>
    </row>
    <row r="324">
      <c r="F324" s="85"/>
      <c r="G324" s="85"/>
    </row>
    <row r="325">
      <c r="F325" s="85"/>
      <c r="G325" s="85"/>
    </row>
    <row r="326">
      <c r="F326" s="85"/>
      <c r="G326" s="85"/>
    </row>
    <row r="327">
      <c r="F327" s="85"/>
      <c r="G327" s="85"/>
    </row>
    <row r="328">
      <c r="F328" s="85"/>
      <c r="G328" s="85"/>
    </row>
    <row r="329">
      <c r="F329" s="85"/>
      <c r="G329" s="85"/>
    </row>
    <row r="330">
      <c r="F330" s="85"/>
      <c r="G330" s="85"/>
    </row>
    <row r="331">
      <c r="F331" s="85"/>
      <c r="G331" s="85"/>
    </row>
    <row r="332">
      <c r="F332" s="85"/>
      <c r="G332" s="85"/>
    </row>
    <row r="333">
      <c r="F333" s="85"/>
      <c r="G333" s="85"/>
    </row>
    <row r="334">
      <c r="F334" s="85"/>
      <c r="G334" s="85"/>
    </row>
    <row r="335">
      <c r="F335" s="85"/>
      <c r="G335" s="85"/>
    </row>
    <row r="336">
      <c r="F336" s="85"/>
      <c r="G336" s="85"/>
    </row>
    <row r="337">
      <c r="F337" s="85"/>
      <c r="G337" s="85"/>
    </row>
    <row r="338">
      <c r="F338" s="85"/>
      <c r="G338" s="85"/>
    </row>
    <row r="339">
      <c r="F339" s="85"/>
      <c r="G339" s="85"/>
    </row>
    <row r="340">
      <c r="F340" s="85"/>
      <c r="G340" s="85"/>
    </row>
    <row r="341">
      <c r="F341" s="85"/>
      <c r="G341" s="85"/>
    </row>
    <row r="342">
      <c r="F342" s="85"/>
      <c r="G342" s="85"/>
    </row>
    <row r="343">
      <c r="F343" s="85"/>
      <c r="G343" s="85"/>
    </row>
    <row r="344">
      <c r="F344" s="85"/>
      <c r="G344" s="85"/>
    </row>
    <row r="345">
      <c r="F345" s="85"/>
      <c r="G345" s="85"/>
    </row>
    <row r="346">
      <c r="F346" s="85"/>
      <c r="G346" s="85"/>
    </row>
    <row r="347">
      <c r="F347" s="85"/>
      <c r="G347" s="85"/>
    </row>
    <row r="348">
      <c r="F348" s="85"/>
      <c r="G348" s="85"/>
    </row>
    <row r="349">
      <c r="F349" s="85"/>
      <c r="G349" s="85"/>
    </row>
    <row r="350">
      <c r="F350" s="85"/>
      <c r="G350" s="85"/>
    </row>
    <row r="351">
      <c r="F351" s="85"/>
      <c r="G351" s="85"/>
    </row>
    <row r="352">
      <c r="F352" s="85"/>
      <c r="G352" s="85"/>
    </row>
    <row r="353">
      <c r="F353" s="85"/>
      <c r="G353" s="85"/>
    </row>
    <row r="354">
      <c r="F354" s="85"/>
      <c r="G354" s="85"/>
    </row>
    <row r="355">
      <c r="F355" s="85"/>
      <c r="G355" s="85"/>
    </row>
    <row r="356">
      <c r="F356" s="85"/>
      <c r="G356" s="85"/>
    </row>
    <row r="357">
      <c r="F357" s="85"/>
      <c r="G357" s="85"/>
    </row>
    <row r="358">
      <c r="F358" s="85"/>
      <c r="G358" s="85"/>
    </row>
    <row r="359">
      <c r="F359" s="85"/>
      <c r="G359" s="85"/>
    </row>
    <row r="360">
      <c r="F360" s="85"/>
      <c r="G360" s="85"/>
    </row>
    <row r="361">
      <c r="F361" s="85"/>
      <c r="G361" s="85"/>
    </row>
    <row r="362">
      <c r="F362" s="85"/>
      <c r="G362" s="85"/>
    </row>
    <row r="363">
      <c r="F363" s="85"/>
      <c r="G363" s="85"/>
    </row>
    <row r="364">
      <c r="F364" s="85"/>
      <c r="G364" s="85"/>
    </row>
    <row r="365">
      <c r="F365" s="85"/>
      <c r="G365" s="85"/>
    </row>
    <row r="366">
      <c r="F366" s="85"/>
      <c r="G366" s="85"/>
    </row>
    <row r="367">
      <c r="F367" s="85"/>
      <c r="G367" s="85"/>
    </row>
    <row r="368">
      <c r="F368" s="85"/>
      <c r="G368" s="85"/>
    </row>
    <row r="369">
      <c r="F369" s="85"/>
      <c r="G369" s="85"/>
    </row>
    <row r="370">
      <c r="F370" s="85"/>
      <c r="G370" s="85"/>
    </row>
    <row r="371">
      <c r="F371" s="85"/>
      <c r="G371" s="85"/>
    </row>
    <row r="372">
      <c r="F372" s="85"/>
      <c r="G372" s="85"/>
    </row>
    <row r="373">
      <c r="F373" s="85"/>
      <c r="G373" s="85"/>
    </row>
    <row r="374">
      <c r="F374" s="85"/>
      <c r="G374" s="85"/>
    </row>
    <row r="375">
      <c r="F375" s="85"/>
      <c r="G375" s="85"/>
    </row>
    <row r="376">
      <c r="F376" s="85"/>
      <c r="G376" s="85"/>
    </row>
    <row r="377">
      <c r="F377" s="85"/>
      <c r="G377" s="85"/>
    </row>
    <row r="378">
      <c r="F378" s="85"/>
      <c r="G378" s="85"/>
    </row>
    <row r="379">
      <c r="F379" s="85"/>
      <c r="G379" s="85"/>
    </row>
    <row r="380">
      <c r="F380" s="85"/>
      <c r="G380" s="85"/>
    </row>
    <row r="381">
      <c r="F381" s="85"/>
      <c r="G381" s="85"/>
    </row>
    <row r="382">
      <c r="F382" s="85"/>
      <c r="G382" s="85"/>
    </row>
    <row r="383">
      <c r="F383" s="85"/>
      <c r="G383" s="85"/>
    </row>
    <row r="384">
      <c r="F384" s="85"/>
      <c r="G384" s="85"/>
    </row>
    <row r="385">
      <c r="F385" s="85"/>
      <c r="G385" s="85"/>
    </row>
    <row r="386">
      <c r="F386" s="85"/>
      <c r="G386" s="85"/>
    </row>
    <row r="387">
      <c r="F387" s="85"/>
      <c r="G387" s="85"/>
    </row>
    <row r="388">
      <c r="F388" s="85"/>
      <c r="G388" s="85"/>
    </row>
    <row r="389">
      <c r="F389" s="85"/>
      <c r="G389" s="85"/>
    </row>
    <row r="390">
      <c r="F390" s="85"/>
      <c r="G390" s="85"/>
    </row>
    <row r="391">
      <c r="F391" s="85"/>
      <c r="G391" s="85"/>
    </row>
    <row r="392">
      <c r="F392" s="85"/>
      <c r="G392" s="85"/>
    </row>
    <row r="393">
      <c r="F393" s="85"/>
      <c r="G393" s="85"/>
    </row>
    <row r="394">
      <c r="F394" s="85"/>
      <c r="G394" s="85"/>
    </row>
    <row r="395">
      <c r="F395" s="85"/>
      <c r="G395" s="85"/>
    </row>
    <row r="396">
      <c r="F396" s="85"/>
      <c r="G396" s="85"/>
    </row>
    <row r="397">
      <c r="F397" s="85"/>
      <c r="G397" s="85"/>
    </row>
    <row r="398">
      <c r="F398" s="85"/>
      <c r="G398" s="85"/>
    </row>
    <row r="399">
      <c r="F399" s="85"/>
      <c r="G399" s="85"/>
    </row>
    <row r="400">
      <c r="F400" s="85"/>
      <c r="G400" s="85"/>
    </row>
    <row r="401">
      <c r="F401" s="85"/>
      <c r="G401" s="85"/>
    </row>
    <row r="402">
      <c r="F402" s="85"/>
      <c r="G402" s="85"/>
    </row>
    <row r="403">
      <c r="F403" s="85"/>
      <c r="G403" s="85"/>
    </row>
    <row r="404">
      <c r="F404" s="85"/>
      <c r="G404" s="85"/>
    </row>
    <row r="405">
      <c r="F405" s="85"/>
      <c r="G405" s="85"/>
    </row>
    <row r="406">
      <c r="F406" s="85"/>
      <c r="G406" s="85"/>
    </row>
    <row r="407">
      <c r="F407" s="85"/>
      <c r="G407" s="85"/>
    </row>
    <row r="408">
      <c r="F408" s="85"/>
      <c r="G408" s="85"/>
    </row>
    <row r="409">
      <c r="F409" s="85"/>
      <c r="G409" s="85"/>
    </row>
    <row r="410">
      <c r="F410" s="85"/>
      <c r="G410" s="85"/>
    </row>
    <row r="411">
      <c r="F411" s="85"/>
      <c r="G411" s="85"/>
    </row>
    <row r="412">
      <c r="F412" s="85"/>
      <c r="G412" s="85"/>
    </row>
    <row r="413">
      <c r="F413" s="85"/>
      <c r="G413" s="85"/>
    </row>
    <row r="414">
      <c r="F414" s="85"/>
      <c r="G414" s="85"/>
    </row>
    <row r="415">
      <c r="F415" s="85"/>
      <c r="G415" s="85"/>
    </row>
    <row r="416">
      <c r="F416" s="85"/>
      <c r="G416" s="85"/>
    </row>
    <row r="417">
      <c r="F417" s="85"/>
      <c r="G417" s="85"/>
    </row>
    <row r="418">
      <c r="F418" s="85"/>
      <c r="G418" s="85"/>
    </row>
    <row r="419">
      <c r="F419" s="85"/>
      <c r="G419" s="85"/>
    </row>
    <row r="420">
      <c r="F420" s="85"/>
      <c r="G420" s="85"/>
    </row>
    <row r="421">
      <c r="F421" s="85"/>
      <c r="G421" s="85"/>
    </row>
    <row r="422">
      <c r="F422" s="85"/>
      <c r="G422" s="85"/>
    </row>
    <row r="423">
      <c r="F423" s="85"/>
      <c r="G423" s="85"/>
    </row>
    <row r="424">
      <c r="F424" s="85"/>
      <c r="G424" s="85"/>
    </row>
    <row r="425">
      <c r="F425" s="85"/>
      <c r="G425" s="85"/>
    </row>
    <row r="426">
      <c r="F426" s="85"/>
      <c r="G426" s="85"/>
    </row>
    <row r="427">
      <c r="F427" s="85"/>
      <c r="G427" s="85"/>
    </row>
    <row r="428">
      <c r="F428" s="85"/>
      <c r="G428" s="85"/>
    </row>
    <row r="429">
      <c r="F429" s="85"/>
      <c r="G429" s="85"/>
    </row>
    <row r="430">
      <c r="F430" s="85"/>
      <c r="G430" s="85"/>
    </row>
    <row r="431">
      <c r="F431" s="85"/>
      <c r="G431" s="85"/>
    </row>
    <row r="432">
      <c r="F432" s="85"/>
      <c r="G432" s="85"/>
    </row>
    <row r="433">
      <c r="F433" s="85"/>
      <c r="G433" s="85"/>
    </row>
    <row r="434">
      <c r="F434" s="85"/>
      <c r="G434" s="85"/>
    </row>
    <row r="435">
      <c r="F435" s="85"/>
      <c r="G435" s="85"/>
    </row>
    <row r="436">
      <c r="F436" s="85"/>
      <c r="G436" s="85"/>
    </row>
    <row r="437">
      <c r="F437" s="85"/>
      <c r="G437" s="85"/>
    </row>
    <row r="438">
      <c r="F438" s="85"/>
      <c r="G438" s="85"/>
    </row>
    <row r="439">
      <c r="F439" s="85"/>
      <c r="G439" s="85"/>
    </row>
    <row r="440">
      <c r="F440" s="85"/>
      <c r="G440" s="85"/>
    </row>
    <row r="441">
      <c r="F441" s="85"/>
      <c r="G441" s="85"/>
    </row>
    <row r="442">
      <c r="F442" s="85"/>
      <c r="G442" s="85"/>
    </row>
    <row r="443">
      <c r="F443" s="85"/>
      <c r="G443" s="85"/>
    </row>
    <row r="444">
      <c r="F444" s="85"/>
      <c r="G444" s="85"/>
    </row>
    <row r="445">
      <c r="F445" s="85"/>
      <c r="G445" s="85"/>
    </row>
    <row r="446">
      <c r="F446" s="85"/>
      <c r="G446" s="85"/>
    </row>
    <row r="447">
      <c r="F447" s="85"/>
      <c r="G447" s="85"/>
    </row>
    <row r="448">
      <c r="F448" s="85"/>
      <c r="G448" s="85"/>
    </row>
    <row r="449">
      <c r="F449" s="85"/>
      <c r="G449" s="85"/>
    </row>
    <row r="450">
      <c r="F450" s="85"/>
      <c r="G450" s="85"/>
    </row>
    <row r="451">
      <c r="F451" s="85"/>
      <c r="G451" s="85"/>
    </row>
    <row r="452">
      <c r="F452" s="85"/>
      <c r="G452" s="85"/>
    </row>
    <row r="453">
      <c r="F453" s="85"/>
      <c r="G453" s="85"/>
    </row>
    <row r="454">
      <c r="F454" s="85"/>
      <c r="G454" s="85"/>
    </row>
    <row r="455">
      <c r="F455" s="85"/>
      <c r="G455" s="85"/>
    </row>
    <row r="456">
      <c r="F456" s="85"/>
      <c r="G456" s="85"/>
    </row>
    <row r="457">
      <c r="F457" s="85"/>
      <c r="G457" s="85"/>
    </row>
    <row r="458">
      <c r="F458" s="85"/>
      <c r="G458" s="85"/>
    </row>
    <row r="459">
      <c r="F459" s="85"/>
      <c r="G459" s="85"/>
    </row>
    <row r="460">
      <c r="F460" s="85"/>
      <c r="G460" s="85"/>
    </row>
    <row r="461">
      <c r="F461" s="85"/>
      <c r="G461" s="85"/>
    </row>
    <row r="462">
      <c r="F462" s="85"/>
      <c r="G462" s="85"/>
    </row>
    <row r="463">
      <c r="F463" s="85"/>
      <c r="G463" s="85"/>
    </row>
    <row r="464">
      <c r="F464" s="85"/>
      <c r="G464" s="85"/>
    </row>
    <row r="465">
      <c r="F465" s="85"/>
      <c r="G465" s="85"/>
    </row>
    <row r="466">
      <c r="F466" s="85"/>
      <c r="G466" s="85"/>
    </row>
    <row r="467">
      <c r="F467" s="85"/>
      <c r="G467" s="85"/>
    </row>
    <row r="468">
      <c r="F468" s="85"/>
      <c r="G468" s="85"/>
    </row>
    <row r="469">
      <c r="F469" s="85"/>
      <c r="G469" s="85"/>
    </row>
    <row r="470">
      <c r="F470" s="85"/>
      <c r="G470" s="85"/>
    </row>
    <row r="471">
      <c r="F471" s="85"/>
      <c r="G471" s="85"/>
    </row>
    <row r="472">
      <c r="F472" s="85"/>
      <c r="G472" s="85"/>
    </row>
    <row r="473">
      <c r="F473" s="85"/>
      <c r="G473" s="85"/>
    </row>
    <row r="474">
      <c r="F474" s="85"/>
      <c r="G474" s="85"/>
    </row>
    <row r="475">
      <c r="F475" s="85"/>
      <c r="G475" s="85"/>
    </row>
    <row r="476">
      <c r="F476" s="85"/>
      <c r="G476" s="85"/>
    </row>
    <row r="477">
      <c r="F477" s="85"/>
      <c r="G477" s="85"/>
    </row>
    <row r="478">
      <c r="F478" s="85"/>
      <c r="G478" s="85"/>
    </row>
    <row r="479">
      <c r="F479" s="85"/>
      <c r="G479" s="85"/>
    </row>
    <row r="480">
      <c r="F480" s="85"/>
      <c r="G480" s="85"/>
    </row>
    <row r="481">
      <c r="F481" s="85"/>
      <c r="G481" s="85"/>
    </row>
    <row r="482">
      <c r="F482" s="85"/>
      <c r="G482" s="85"/>
    </row>
    <row r="483">
      <c r="F483" s="85"/>
      <c r="G483" s="85"/>
    </row>
    <row r="484">
      <c r="F484" s="85"/>
      <c r="G484" s="85"/>
    </row>
    <row r="485">
      <c r="F485" s="85"/>
      <c r="G485" s="85"/>
    </row>
    <row r="486">
      <c r="F486" s="85"/>
      <c r="G486" s="85"/>
    </row>
    <row r="487">
      <c r="F487" s="85"/>
      <c r="G487" s="85"/>
    </row>
    <row r="488">
      <c r="F488" s="85"/>
      <c r="G488" s="85"/>
    </row>
    <row r="489">
      <c r="F489" s="85"/>
      <c r="G489" s="85"/>
    </row>
    <row r="490">
      <c r="F490" s="85"/>
      <c r="G490" s="85"/>
    </row>
    <row r="491">
      <c r="F491" s="85"/>
      <c r="G491" s="85"/>
    </row>
    <row r="492">
      <c r="F492" s="85"/>
      <c r="G492" s="85"/>
    </row>
    <row r="493">
      <c r="F493" s="85"/>
      <c r="G493" s="85"/>
    </row>
    <row r="494">
      <c r="F494" s="85"/>
      <c r="G494" s="85"/>
    </row>
    <row r="495">
      <c r="F495" s="85"/>
      <c r="G495" s="85"/>
    </row>
    <row r="496">
      <c r="F496" s="85"/>
      <c r="G496" s="85"/>
    </row>
    <row r="497">
      <c r="F497" s="85"/>
      <c r="G497" s="85"/>
    </row>
    <row r="498">
      <c r="F498" s="85"/>
      <c r="G498" s="85"/>
    </row>
    <row r="499">
      <c r="F499" s="85"/>
      <c r="G499" s="85"/>
    </row>
    <row r="500">
      <c r="F500" s="85"/>
      <c r="G500" s="85"/>
    </row>
    <row r="501">
      <c r="F501" s="85"/>
      <c r="G501" s="85"/>
    </row>
    <row r="502">
      <c r="F502" s="85"/>
      <c r="G502" s="85"/>
    </row>
    <row r="503">
      <c r="F503" s="85"/>
      <c r="G503" s="85"/>
    </row>
    <row r="504">
      <c r="F504" s="85"/>
      <c r="G504" s="85"/>
    </row>
    <row r="505">
      <c r="F505" s="85"/>
      <c r="G505" s="85"/>
    </row>
    <row r="506">
      <c r="F506" s="85"/>
      <c r="G506" s="85"/>
    </row>
    <row r="507">
      <c r="F507" s="85"/>
      <c r="G507" s="85"/>
    </row>
    <row r="508">
      <c r="F508" s="85"/>
      <c r="G508" s="85"/>
    </row>
    <row r="509">
      <c r="F509" s="85"/>
      <c r="G509" s="85"/>
    </row>
    <row r="510">
      <c r="F510" s="85"/>
      <c r="G510" s="85"/>
    </row>
    <row r="511">
      <c r="F511" s="85"/>
      <c r="G511" s="85"/>
    </row>
    <row r="512">
      <c r="F512" s="85"/>
      <c r="G512" s="85"/>
    </row>
    <row r="513">
      <c r="F513" s="85"/>
      <c r="G513" s="85"/>
    </row>
    <row r="514">
      <c r="F514" s="85"/>
      <c r="G514" s="85"/>
    </row>
    <row r="515">
      <c r="F515" s="85"/>
      <c r="G515" s="85"/>
    </row>
    <row r="516">
      <c r="F516" s="85"/>
      <c r="G516" s="85"/>
    </row>
    <row r="517">
      <c r="F517" s="85"/>
      <c r="G517" s="85"/>
    </row>
    <row r="518">
      <c r="F518" s="85"/>
      <c r="G518" s="85"/>
    </row>
    <row r="519">
      <c r="F519" s="85"/>
      <c r="G519" s="85"/>
    </row>
    <row r="520">
      <c r="F520" s="85"/>
      <c r="G520" s="85"/>
    </row>
    <row r="521">
      <c r="F521" s="85"/>
      <c r="G521" s="85"/>
    </row>
    <row r="522">
      <c r="F522" s="85"/>
      <c r="G522" s="85"/>
    </row>
    <row r="523">
      <c r="F523" s="85"/>
      <c r="G523" s="85"/>
    </row>
    <row r="524">
      <c r="F524" s="85"/>
      <c r="G524" s="85"/>
    </row>
    <row r="525">
      <c r="F525" s="85"/>
      <c r="G525" s="85"/>
    </row>
    <row r="526">
      <c r="F526" s="85"/>
      <c r="G526" s="85"/>
    </row>
    <row r="527">
      <c r="F527" s="85"/>
      <c r="G527" s="85"/>
    </row>
    <row r="528">
      <c r="F528" s="85"/>
      <c r="G528" s="85"/>
    </row>
    <row r="529">
      <c r="F529" s="85"/>
      <c r="G529" s="85"/>
    </row>
    <row r="530">
      <c r="F530" s="85"/>
      <c r="G530" s="85"/>
    </row>
    <row r="531">
      <c r="F531" s="85"/>
      <c r="G531" s="85"/>
    </row>
    <row r="532">
      <c r="F532" s="85"/>
      <c r="G532" s="85"/>
    </row>
    <row r="533">
      <c r="F533" s="85"/>
      <c r="G533" s="85"/>
    </row>
    <row r="534">
      <c r="F534" s="85"/>
      <c r="G534" s="85"/>
    </row>
    <row r="535">
      <c r="F535" s="85"/>
      <c r="G535" s="85"/>
    </row>
    <row r="536">
      <c r="F536" s="85"/>
      <c r="G536" s="85"/>
    </row>
    <row r="537">
      <c r="F537" s="85"/>
      <c r="G537" s="85"/>
    </row>
    <row r="538">
      <c r="F538" s="85"/>
      <c r="G538" s="85"/>
    </row>
    <row r="539">
      <c r="F539" s="85"/>
      <c r="G539" s="85"/>
    </row>
    <row r="540">
      <c r="F540" s="85"/>
      <c r="G540" s="85"/>
    </row>
    <row r="541">
      <c r="F541" s="85"/>
      <c r="G541" s="85"/>
    </row>
    <row r="542">
      <c r="F542" s="85"/>
      <c r="G542" s="85"/>
    </row>
    <row r="543">
      <c r="F543" s="85"/>
      <c r="G543" s="85"/>
    </row>
    <row r="544">
      <c r="F544" s="85"/>
      <c r="G544" s="85"/>
    </row>
    <row r="545">
      <c r="F545" s="85"/>
      <c r="G545" s="85"/>
    </row>
    <row r="546">
      <c r="F546" s="85"/>
      <c r="G546" s="85"/>
    </row>
    <row r="547">
      <c r="F547" s="85"/>
      <c r="G547" s="85"/>
    </row>
    <row r="548">
      <c r="F548" s="85"/>
      <c r="G548" s="85"/>
    </row>
    <row r="549">
      <c r="F549" s="85"/>
      <c r="G549" s="85"/>
    </row>
    <row r="550">
      <c r="F550" s="85"/>
      <c r="G550" s="85"/>
    </row>
    <row r="551">
      <c r="F551" s="85"/>
      <c r="G551" s="85"/>
    </row>
    <row r="552">
      <c r="F552" s="85"/>
      <c r="G552" s="85"/>
    </row>
    <row r="553">
      <c r="F553" s="85"/>
      <c r="G553" s="85"/>
    </row>
    <row r="554">
      <c r="F554" s="85"/>
      <c r="G554" s="85"/>
    </row>
    <row r="555">
      <c r="F555" s="85"/>
      <c r="G555" s="85"/>
    </row>
    <row r="556">
      <c r="F556" s="85"/>
      <c r="G556" s="85"/>
    </row>
    <row r="557">
      <c r="F557" s="85"/>
      <c r="G557" s="85"/>
    </row>
    <row r="558">
      <c r="F558" s="85"/>
      <c r="G558" s="85"/>
    </row>
    <row r="559">
      <c r="F559" s="85"/>
      <c r="G559" s="85"/>
    </row>
    <row r="560">
      <c r="F560" s="85"/>
      <c r="G560" s="85"/>
    </row>
    <row r="561">
      <c r="F561" s="85"/>
      <c r="G561" s="85"/>
    </row>
    <row r="562">
      <c r="F562" s="85"/>
      <c r="G562" s="85"/>
    </row>
    <row r="563">
      <c r="F563" s="85"/>
      <c r="G563" s="85"/>
    </row>
    <row r="564">
      <c r="F564" s="85"/>
      <c r="G564" s="85"/>
    </row>
    <row r="565">
      <c r="F565" s="85"/>
      <c r="G565" s="85"/>
    </row>
    <row r="566">
      <c r="F566" s="85"/>
      <c r="G566" s="85"/>
    </row>
    <row r="567">
      <c r="F567" s="85"/>
      <c r="G567" s="85"/>
    </row>
    <row r="568">
      <c r="F568" s="85"/>
      <c r="G568" s="85"/>
    </row>
    <row r="569">
      <c r="F569" s="85"/>
      <c r="G569" s="85"/>
    </row>
    <row r="570">
      <c r="F570" s="85"/>
      <c r="G570" s="85"/>
    </row>
    <row r="571">
      <c r="F571" s="85"/>
      <c r="G571" s="85"/>
    </row>
    <row r="572">
      <c r="F572" s="85"/>
      <c r="G572" s="85"/>
    </row>
    <row r="573">
      <c r="F573" s="85"/>
      <c r="G573" s="85"/>
    </row>
    <row r="574">
      <c r="F574" s="85"/>
      <c r="G574" s="85"/>
    </row>
    <row r="575">
      <c r="F575" s="85"/>
      <c r="G575" s="85"/>
    </row>
    <row r="576">
      <c r="F576" s="85"/>
      <c r="G576" s="85"/>
    </row>
    <row r="577">
      <c r="F577" s="85"/>
      <c r="G577" s="85"/>
    </row>
    <row r="578">
      <c r="F578" s="85"/>
      <c r="G578" s="85"/>
    </row>
    <row r="579">
      <c r="F579" s="85"/>
      <c r="G579" s="85"/>
    </row>
    <row r="580">
      <c r="F580" s="85"/>
      <c r="G580" s="85"/>
    </row>
    <row r="581">
      <c r="F581" s="85"/>
      <c r="G581" s="85"/>
    </row>
    <row r="582">
      <c r="F582" s="85"/>
      <c r="G582" s="85"/>
    </row>
    <row r="583">
      <c r="F583" s="85"/>
      <c r="G583" s="85"/>
    </row>
    <row r="584">
      <c r="F584" s="85"/>
      <c r="G584" s="85"/>
    </row>
    <row r="585">
      <c r="F585" s="85"/>
      <c r="G585" s="85"/>
    </row>
    <row r="586">
      <c r="F586" s="85"/>
      <c r="G586" s="85"/>
    </row>
    <row r="587">
      <c r="F587" s="85"/>
      <c r="G587" s="85"/>
    </row>
    <row r="588">
      <c r="F588" s="85"/>
      <c r="G588" s="85"/>
    </row>
    <row r="589">
      <c r="F589" s="85"/>
      <c r="G589" s="85"/>
    </row>
    <row r="590">
      <c r="F590" s="85"/>
      <c r="G590" s="85"/>
    </row>
    <row r="591">
      <c r="F591" s="85"/>
      <c r="G591" s="85"/>
    </row>
    <row r="592">
      <c r="F592" s="85"/>
      <c r="G592" s="85"/>
    </row>
    <row r="593">
      <c r="F593" s="85"/>
      <c r="G593" s="85"/>
    </row>
    <row r="594">
      <c r="F594" s="85"/>
      <c r="G594" s="85"/>
    </row>
    <row r="595">
      <c r="F595" s="85"/>
      <c r="G595" s="85"/>
    </row>
    <row r="596">
      <c r="F596" s="85"/>
      <c r="G596" s="85"/>
    </row>
    <row r="597">
      <c r="F597" s="85"/>
      <c r="G597" s="85"/>
    </row>
    <row r="598">
      <c r="F598" s="85"/>
      <c r="G598" s="85"/>
    </row>
    <row r="599">
      <c r="F599" s="85"/>
      <c r="G599" s="85"/>
    </row>
    <row r="600">
      <c r="F600" s="85"/>
      <c r="G600" s="85"/>
    </row>
    <row r="601">
      <c r="F601" s="85"/>
      <c r="G601" s="85"/>
    </row>
    <row r="602">
      <c r="F602" s="85"/>
      <c r="G602" s="85"/>
    </row>
    <row r="603">
      <c r="F603" s="85"/>
      <c r="G603" s="85"/>
    </row>
    <row r="604">
      <c r="F604" s="85"/>
      <c r="G604" s="85"/>
    </row>
    <row r="605">
      <c r="F605" s="85"/>
      <c r="G605" s="85"/>
    </row>
    <row r="606">
      <c r="F606" s="85"/>
      <c r="G606" s="85"/>
    </row>
    <row r="607">
      <c r="F607" s="85"/>
      <c r="G607" s="85"/>
    </row>
    <row r="608">
      <c r="F608" s="85"/>
      <c r="G608" s="85"/>
    </row>
    <row r="609">
      <c r="F609" s="85"/>
      <c r="G609" s="85"/>
    </row>
    <row r="610">
      <c r="F610" s="85"/>
      <c r="G610" s="85"/>
    </row>
    <row r="611">
      <c r="F611" s="85"/>
      <c r="G611" s="85"/>
    </row>
    <row r="612">
      <c r="F612" s="85"/>
      <c r="G612" s="85"/>
    </row>
    <row r="613">
      <c r="F613" s="85"/>
      <c r="G613" s="85"/>
    </row>
    <row r="614">
      <c r="F614" s="85"/>
      <c r="G614" s="85"/>
    </row>
    <row r="615">
      <c r="F615" s="85"/>
      <c r="G615" s="85"/>
    </row>
    <row r="616">
      <c r="F616" s="85"/>
      <c r="G616" s="85"/>
    </row>
    <row r="617">
      <c r="F617" s="85"/>
      <c r="G617" s="85"/>
    </row>
    <row r="618">
      <c r="F618" s="85"/>
      <c r="G618" s="85"/>
    </row>
    <row r="619">
      <c r="F619" s="85"/>
      <c r="G619" s="85"/>
    </row>
    <row r="620">
      <c r="F620" s="85"/>
      <c r="G620" s="85"/>
    </row>
    <row r="621">
      <c r="F621" s="85"/>
      <c r="G621" s="85"/>
    </row>
    <row r="622">
      <c r="F622" s="85"/>
      <c r="G622" s="85"/>
    </row>
    <row r="623">
      <c r="F623" s="85"/>
      <c r="G623" s="85"/>
    </row>
    <row r="624">
      <c r="F624" s="85"/>
      <c r="G624" s="85"/>
    </row>
    <row r="625">
      <c r="F625" s="85"/>
      <c r="G625" s="85"/>
    </row>
    <row r="626">
      <c r="F626" s="85"/>
      <c r="G626" s="85"/>
    </row>
    <row r="627">
      <c r="F627" s="85"/>
      <c r="G627" s="85"/>
    </row>
    <row r="628">
      <c r="F628" s="85"/>
      <c r="G628" s="85"/>
    </row>
    <row r="629">
      <c r="F629" s="85"/>
      <c r="G629" s="85"/>
    </row>
    <row r="630">
      <c r="F630" s="85"/>
      <c r="G630" s="85"/>
    </row>
    <row r="631">
      <c r="F631" s="85"/>
      <c r="G631" s="85"/>
    </row>
    <row r="632">
      <c r="F632" s="85"/>
      <c r="G632" s="85"/>
    </row>
    <row r="633">
      <c r="F633" s="85"/>
      <c r="G633" s="85"/>
    </row>
    <row r="634">
      <c r="F634" s="85"/>
      <c r="G634" s="85"/>
    </row>
    <row r="635">
      <c r="F635" s="85"/>
      <c r="G635" s="85"/>
    </row>
    <row r="636">
      <c r="F636" s="85"/>
      <c r="G636" s="85"/>
    </row>
    <row r="637">
      <c r="F637" s="85"/>
      <c r="G637" s="85"/>
    </row>
    <row r="638">
      <c r="F638" s="85"/>
      <c r="G638" s="85"/>
    </row>
    <row r="639">
      <c r="F639" s="85"/>
      <c r="G639" s="85"/>
    </row>
    <row r="640">
      <c r="F640" s="85"/>
      <c r="G640" s="85"/>
    </row>
    <row r="641">
      <c r="F641" s="85"/>
      <c r="G641" s="85"/>
    </row>
    <row r="642">
      <c r="F642" s="85"/>
      <c r="G642" s="85"/>
    </row>
    <row r="643">
      <c r="F643" s="85"/>
      <c r="G643" s="85"/>
    </row>
    <row r="644">
      <c r="F644" s="85"/>
      <c r="G644" s="85"/>
    </row>
    <row r="645">
      <c r="F645" s="85"/>
      <c r="G645" s="85"/>
    </row>
    <row r="646">
      <c r="F646" s="85"/>
      <c r="G646" s="85"/>
    </row>
    <row r="647">
      <c r="F647" s="85"/>
      <c r="G647" s="85"/>
    </row>
    <row r="648">
      <c r="F648" s="85"/>
      <c r="G648" s="85"/>
    </row>
    <row r="649">
      <c r="F649" s="85"/>
      <c r="G649" s="85"/>
    </row>
    <row r="650">
      <c r="F650" s="85"/>
      <c r="G650" s="85"/>
    </row>
    <row r="651">
      <c r="F651" s="85"/>
      <c r="G651" s="85"/>
    </row>
    <row r="652">
      <c r="F652" s="85"/>
      <c r="G652" s="85"/>
    </row>
    <row r="653">
      <c r="F653" s="85"/>
      <c r="G653" s="85"/>
    </row>
    <row r="654">
      <c r="F654" s="85"/>
      <c r="G654" s="85"/>
    </row>
    <row r="655">
      <c r="F655" s="85"/>
      <c r="G655" s="85"/>
    </row>
    <row r="656">
      <c r="F656" s="85"/>
      <c r="G656" s="85"/>
    </row>
    <row r="657">
      <c r="F657" s="85"/>
      <c r="G657" s="85"/>
    </row>
    <row r="658">
      <c r="F658" s="85"/>
      <c r="G658" s="85"/>
    </row>
    <row r="659">
      <c r="F659" s="85"/>
      <c r="G659" s="85"/>
    </row>
    <row r="660">
      <c r="F660" s="85"/>
      <c r="G660" s="85"/>
    </row>
    <row r="661">
      <c r="F661" s="85"/>
      <c r="G661" s="85"/>
    </row>
    <row r="662">
      <c r="F662" s="85"/>
      <c r="G662" s="85"/>
    </row>
    <row r="663">
      <c r="F663" s="85"/>
      <c r="G663" s="85"/>
    </row>
    <row r="664">
      <c r="F664" s="85"/>
      <c r="G664" s="85"/>
    </row>
    <row r="665">
      <c r="F665" s="85"/>
      <c r="G665" s="85"/>
    </row>
    <row r="666">
      <c r="F666" s="85"/>
      <c r="G666" s="85"/>
    </row>
    <row r="667">
      <c r="F667" s="85"/>
      <c r="G667" s="85"/>
    </row>
    <row r="668">
      <c r="F668" s="85"/>
      <c r="G668" s="85"/>
    </row>
    <row r="669">
      <c r="F669" s="85"/>
      <c r="G669" s="85"/>
    </row>
    <row r="670">
      <c r="F670" s="85"/>
      <c r="G670" s="85"/>
    </row>
    <row r="671">
      <c r="F671" s="85"/>
      <c r="G671" s="85"/>
    </row>
    <row r="672">
      <c r="F672" s="85"/>
      <c r="G672" s="85"/>
    </row>
    <row r="673">
      <c r="F673" s="85"/>
      <c r="G673" s="85"/>
    </row>
    <row r="674">
      <c r="F674" s="85"/>
      <c r="G674" s="85"/>
    </row>
    <row r="675">
      <c r="F675" s="85"/>
      <c r="G675" s="85"/>
    </row>
    <row r="676">
      <c r="F676" s="85"/>
      <c r="G676" s="85"/>
    </row>
    <row r="677">
      <c r="F677" s="85"/>
      <c r="G677" s="85"/>
    </row>
    <row r="678">
      <c r="F678" s="85"/>
      <c r="G678" s="85"/>
    </row>
    <row r="679">
      <c r="F679" s="85"/>
      <c r="G679" s="85"/>
    </row>
    <row r="680">
      <c r="F680" s="85"/>
      <c r="G680" s="85"/>
    </row>
    <row r="681">
      <c r="F681" s="85"/>
      <c r="G681" s="85"/>
    </row>
    <row r="682">
      <c r="F682" s="85"/>
      <c r="G682" s="85"/>
    </row>
    <row r="683">
      <c r="F683" s="85"/>
      <c r="G683" s="85"/>
    </row>
    <row r="684">
      <c r="F684" s="85"/>
      <c r="G684" s="85"/>
    </row>
    <row r="685">
      <c r="F685" s="85"/>
      <c r="G685" s="85"/>
    </row>
    <row r="686">
      <c r="F686" s="85"/>
      <c r="G686" s="85"/>
    </row>
    <row r="687">
      <c r="F687" s="85"/>
      <c r="G687" s="85"/>
    </row>
    <row r="688">
      <c r="F688" s="85"/>
      <c r="G688" s="85"/>
    </row>
    <row r="689">
      <c r="F689" s="85"/>
      <c r="G689" s="85"/>
    </row>
    <row r="690">
      <c r="F690" s="85"/>
      <c r="G690" s="85"/>
    </row>
    <row r="691">
      <c r="F691" s="85"/>
      <c r="G691" s="85"/>
    </row>
    <row r="692">
      <c r="F692" s="85"/>
      <c r="G692" s="85"/>
    </row>
    <row r="693">
      <c r="F693" s="85"/>
      <c r="G693" s="85"/>
    </row>
    <row r="694">
      <c r="F694" s="85"/>
      <c r="G694" s="85"/>
    </row>
    <row r="695">
      <c r="F695" s="85"/>
      <c r="G695" s="85"/>
    </row>
    <row r="696">
      <c r="F696" s="85"/>
      <c r="G696" s="85"/>
    </row>
    <row r="697">
      <c r="F697" s="85"/>
      <c r="G697" s="85"/>
    </row>
    <row r="698">
      <c r="F698" s="85"/>
      <c r="G698" s="85"/>
    </row>
    <row r="699">
      <c r="F699" s="85"/>
      <c r="G699" s="85"/>
    </row>
    <row r="700">
      <c r="F700" s="85"/>
      <c r="G700" s="85"/>
    </row>
    <row r="701">
      <c r="F701" s="85"/>
      <c r="G701" s="85"/>
    </row>
    <row r="702">
      <c r="F702" s="85"/>
      <c r="G702" s="85"/>
    </row>
    <row r="703">
      <c r="F703" s="85"/>
      <c r="G703" s="85"/>
    </row>
    <row r="704">
      <c r="F704" s="85"/>
      <c r="G704" s="85"/>
    </row>
    <row r="705">
      <c r="F705" s="85"/>
      <c r="G705" s="85"/>
    </row>
    <row r="706">
      <c r="F706" s="85"/>
      <c r="G706" s="85"/>
    </row>
    <row r="707">
      <c r="F707" s="85"/>
      <c r="G707" s="85"/>
    </row>
    <row r="708">
      <c r="F708" s="85"/>
      <c r="G708" s="85"/>
    </row>
    <row r="709">
      <c r="F709" s="85"/>
      <c r="G709" s="85"/>
    </row>
    <row r="710">
      <c r="F710" s="85"/>
      <c r="G710" s="85"/>
    </row>
    <row r="711">
      <c r="F711" s="85"/>
      <c r="G711" s="85"/>
    </row>
    <row r="712">
      <c r="F712" s="85"/>
      <c r="G712" s="85"/>
    </row>
    <row r="713">
      <c r="F713" s="85"/>
      <c r="G713" s="85"/>
    </row>
    <row r="714">
      <c r="F714" s="85"/>
      <c r="G714" s="85"/>
    </row>
    <row r="715">
      <c r="F715" s="85"/>
      <c r="G715" s="85"/>
    </row>
    <row r="716">
      <c r="F716" s="85"/>
      <c r="G716" s="85"/>
    </row>
    <row r="717">
      <c r="F717" s="85"/>
      <c r="G717" s="85"/>
    </row>
    <row r="718">
      <c r="F718" s="85"/>
      <c r="G718" s="85"/>
    </row>
    <row r="719">
      <c r="F719" s="85"/>
      <c r="G719" s="85"/>
    </row>
    <row r="720">
      <c r="F720" s="85"/>
      <c r="G720" s="85"/>
    </row>
    <row r="721">
      <c r="F721" s="85"/>
      <c r="G721" s="85"/>
    </row>
    <row r="722">
      <c r="F722" s="85"/>
      <c r="G722" s="85"/>
    </row>
    <row r="723">
      <c r="F723" s="85"/>
      <c r="G723" s="85"/>
    </row>
    <row r="724">
      <c r="F724" s="85"/>
      <c r="G724" s="85"/>
    </row>
    <row r="725">
      <c r="F725" s="85"/>
      <c r="G725" s="85"/>
    </row>
    <row r="726">
      <c r="F726" s="85"/>
      <c r="G726" s="85"/>
    </row>
    <row r="727">
      <c r="F727" s="85"/>
      <c r="G727" s="85"/>
    </row>
    <row r="728">
      <c r="F728" s="85"/>
      <c r="G728" s="85"/>
    </row>
    <row r="729">
      <c r="F729" s="85"/>
      <c r="G729" s="85"/>
    </row>
    <row r="730">
      <c r="F730" s="85"/>
      <c r="G730" s="85"/>
    </row>
    <row r="731">
      <c r="F731" s="85"/>
      <c r="G731" s="85"/>
    </row>
    <row r="732">
      <c r="F732" s="85"/>
      <c r="G732" s="85"/>
    </row>
    <row r="733">
      <c r="F733" s="85"/>
      <c r="G733" s="85"/>
    </row>
    <row r="734">
      <c r="F734" s="85"/>
      <c r="G734" s="85"/>
    </row>
    <row r="735">
      <c r="F735" s="85"/>
      <c r="G735" s="85"/>
    </row>
    <row r="736">
      <c r="F736" s="85"/>
      <c r="G736" s="85"/>
    </row>
    <row r="737">
      <c r="F737" s="85"/>
      <c r="G737" s="85"/>
    </row>
    <row r="738">
      <c r="F738" s="85"/>
      <c r="G738" s="85"/>
    </row>
    <row r="739">
      <c r="F739" s="85"/>
      <c r="G739" s="85"/>
    </row>
    <row r="740">
      <c r="F740" s="85"/>
      <c r="G740" s="85"/>
    </row>
    <row r="741">
      <c r="F741" s="85"/>
      <c r="G741" s="85"/>
    </row>
    <row r="742">
      <c r="F742" s="85"/>
      <c r="G742" s="85"/>
    </row>
    <row r="743">
      <c r="F743" s="85"/>
      <c r="G743" s="85"/>
    </row>
    <row r="744">
      <c r="F744" s="85"/>
      <c r="G744" s="85"/>
    </row>
    <row r="745">
      <c r="F745" s="85"/>
      <c r="G745" s="85"/>
    </row>
    <row r="746">
      <c r="F746" s="85"/>
      <c r="G746" s="85"/>
    </row>
    <row r="747">
      <c r="F747" s="85"/>
      <c r="G747" s="85"/>
    </row>
    <row r="748">
      <c r="F748" s="85"/>
      <c r="G748" s="85"/>
    </row>
    <row r="749">
      <c r="F749" s="85"/>
      <c r="G749" s="85"/>
    </row>
    <row r="750">
      <c r="F750" s="85"/>
      <c r="G750" s="85"/>
    </row>
    <row r="751">
      <c r="F751" s="85"/>
      <c r="G751" s="85"/>
    </row>
    <row r="752">
      <c r="F752" s="85"/>
      <c r="G752" s="85"/>
    </row>
    <row r="753">
      <c r="F753" s="85"/>
      <c r="G753" s="85"/>
    </row>
    <row r="754">
      <c r="F754" s="85"/>
      <c r="G754" s="85"/>
    </row>
    <row r="755">
      <c r="F755" s="85"/>
      <c r="G755" s="85"/>
    </row>
    <row r="756">
      <c r="F756" s="85"/>
      <c r="G756" s="85"/>
    </row>
    <row r="757">
      <c r="F757" s="85"/>
      <c r="G757" s="85"/>
    </row>
    <row r="758">
      <c r="F758" s="85"/>
      <c r="G758" s="85"/>
    </row>
    <row r="759">
      <c r="F759" s="85"/>
      <c r="G759" s="85"/>
    </row>
    <row r="760">
      <c r="F760" s="85"/>
      <c r="G760" s="85"/>
    </row>
    <row r="761">
      <c r="F761" s="85"/>
      <c r="G761" s="85"/>
    </row>
    <row r="762">
      <c r="F762" s="85"/>
      <c r="G762" s="85"/>
    </row>
    <row r="763">
      <c r="F763" s="85"/>
      <c r="G763" s="85"/>
    </row>
    <row r="764">
      <c r="F764" s="85"/>
      <c r="G764" s="85"/>
    </row>
    <row r="765">
      <c r="F765" s="85"/>
      <c r="G765" s="85"/>
    </row>
    <row r="766">
      <c r="F766" s="85"/>
      <c r="G766" s="85"/>
    </row>
    <row r="767">
      <c r="F767" s="85"/>
      <c r="G767" s="85"/>
    </row>
    <row r="768">
      <c r="F768" s="85"/>
      <c r="G768" s="85"/>
    </row>
    <row r="769">
      <c r="F769" s="85"/>
      <c r="G769" s="85"/>
    </row>
    <row r="770">
      <c r="F770" s="85"/>
      <c r="G770" s="85"/>
    </row>
    <row r="771">
      <c r="F771" s="85"/>
      <c r="G771" s="85"/>
    </row>
    <row r="772">
      <c r="F772" s="85"/>
      <c r="G772" s="85"/>
    </row>
    <row r="773">
      <c r="F773" s="85"/>
      <c r="G773" s="85"/>
    </row>
    <row r="774">
      <c r="F774" s="85"/>
      <c r="G774" s="85"/>
    </row>
    <row r="775">
      <c r="F775" s="85"/>
      <c r="G775" s="85"/>
    </row>
    <row r="776">
      <c r="F776" s="85"/>
      <c r="G776" s="85"/>
    </row>
    <row r="777">
      <c r="F777" s="85"/>
      <c r="G777" s="85"/>
    </row>
    <row r="778">
      <c r="F778" s="85"/>
      <c r="G778" s="85"/>
    </row>
    <row r="779">
      <c r="F779" s="85"/>
      <c r="G779" s="85"/>
    </row>
    <row r="780">
      <c r="F780" s="85"/>
      <c r="G780" s="85"/>
    </row>
    <row r="781">
      <c r="F781" s="85"/>
      <c r="G781" s="85"/>
    </row>
    <row r="782">
      <c r="F782" s="85"/>
      <c r="G782" s="85"/>
    </row>
    <row r="783">
      <c r="F783" s="85"/>
      <c r="G783" s="85"/>
    </row>
    <row r="784">
      <c r="F784" s="85"/>
      <c r="G784" s="85"/>
    </row>
    <row r="785">
      <c r="F785" s="85"/>
      <c r="G785" s="85"/>
    </row>
    <row r="786">
      <c r="F786" s="85"/>
      <c r="G786" s="85"/>
    </row>
    <row r="787">
      <c r="F787" s="85"/>
      <c r="G787" s="85"/>
    </row>
    <row r="788">
      <c r="F788" s="85"/>
      <c r="G788" s="85"/>
    </row>
    <row r="789">
      <c r="F789" s="85"/>
      <c r="G789" s="85"/>
    </row>
    <row r="790">
      <c r="F790" s="85"/>
      <c r="G790" s="85"/>
    </row>
    <row r="791">
      <c r="F791" s="85"/>
      <c r="G791" s="85"/>
    </row>
    <row r="792">
      <c r="F792" s="85"/>
      <c r="G792" s="85"/>
    </row>
    <row r="793">
      <c r="F793" s="85"/>
      <c r="G793" s="85"/>
    </row>
    <row r="794">
      <c r="F794" s="85"/>
      <c r="G794" s="85"/>
    </row>
    <row r="795">
      <c r="F795" s="85"/>
      <c r="G795" s="85"/>
    </row>
    <row r="796">
      <c r="F796" s="85"/>
      <c r="G796" s="85"/>
    </row>
    <row r="797">
      <c r="F797" s="85"/>
      <c r="G797" s="85"/>
    </row>
    <row r="798">
      <c r="F798" s="85"/>
      <c r="G798" s="85"/>
    </row>
    <row r="799">
      <c r="F799" s="85"/>
      <c r="G799" s="85"/>
    </row>
    <row r="800">
      <c r="F800" s="85"/>
      <c r="G800" s="85"/>
    </row>
    <row r="801">
      <c r="F801" s="85"/>
      <c r="G801" s="85"/>
    </row>
    <row r="802">
      <c r="F802" s="85"/>
      <c r="G802" s="85"/>
    </row>
    <row r="803">
      <c r="F803" s="85"/>
      <c r="G803" s="85"/>
    </row>
    <row r="804">
      <c r="F804" s="85"/>
      <c r="G804" s="85"/>
    </row>
    <row r="805">
      <c r="F805" s="85"/>
      <c r="G805" s="85"/>
    </row>
    <row r="806">
      <c r="F806" s="85"/>
      <c r="G806" s="85"/>
    </row>
    <row r="807">
      <c r="F807" s="85"/>
      <c r="G807" s="85"/>
    </row>
    <row r="808">
      <c r="F808" s="85"/>
      <c r="G808" s="85"/>
    </row>
    <row r="809">
      <c r="F809" s="85"/>
      <c r="G809" s="85"/>
    </row>
    <row r="810">
      <c r="F810" s="85"/>
      <c r="G810" s="85"/>
    </row>
    <row r="811">
      <c r="F811" s="85"/>
      <c r="G811" s="85"/>
    </row>
    <row r="812">
      <c r="F812" s="85"/>
      <c r="G812" s="85"/>
    </row>
    <row r="813">
      <c r="F813" s="85"/>
      <c r="G813" s="85"/>
    </row>
    <row r="814">
      <c r="F814" s="85"/>
      <c r="G814" s="85"/>
    </row>
    <row r="815">
      <c r="F815" s="85"/>
      <c r="G815" s="85"/>
    </row>
    <row r="816">
      <c r="F816" s="85"/>
      <c r="G816" s="85"/>
    </row>
    <row r="817">
      <c r="F817" s="85"/>
      <c r="G817" s="85"/>
    </row>
    <row r="818">
      <c r="F818" s="85"/>
      <c r="G818" s="85"/>
    </row>
    <row r="819">
      <c r="F819" s="85"/>
      <c r="G819" s="85"/>
    </row>
    <row r="820">
      <c r="F820" s="85"/>
      <c r="G820" s="85"/>
    </row>
    <row r="821">
      <c r="F821" s="85"/>
      <c r="G821" s="85"/>
    </row>
    <row r="822">
      <c r="F822" s="85"/>
      <c r="G822" s="85"/>
    </row>
    <row r="823">
      <c r="F823" s="85"/>
      <c r="G823" s="85"/>
    </row>
    <row r="824">
      <c r="F824" s="85"/>
      <c r="G824" s="85"/>
    </row>
    <row r="825">
      <c r="F825" s="85"/>
      <c r="G825" s="85"/>
    </row>
    <row r="826">
      <c r="F826" s="85"/>
      <c r="G826" s="85"/>
    </row>
    <row r="827">
      <c r="F827" s="85"/>
      <c r="G827" s="85"/>
    </row>
    <row r="828">
      <c r="F828" s="85"/>
      <c r="G828" s="85"/>
    </row>
    <row r="829">
      <c r="F829" s="85"/>
      <c r="G829" s="85"/>
    </row>
    <row r="830">
      <c r="F830" s="85"/>
      <c r="G830" s="85"/>
    </row>
    <row r="831">
      <c r="F831" s="85"/>
      <c r="G831" s="85"/>
    </row>
    <row r="832">
      <c r="F832" s="85"/>
      <c r="G832" s="85"/>
    </row>
    <row r="833">
      <c r="F833" s="85"/>
      <c r="G833" s="85"/>
    </row>
    <row r="834">
      <c r="F834" s="85"/>
      <c r="G834" s="85"/>
    </row>
    <row r="835">
      <c r="F835" s="85"/>
      <c r="G835" s="85"/>
    </row>
    <row r="836">
      <c r="F836" s="85"/>
      <c r="G836" s="85"/>
    </row>
    <row r="837">
      <c r="F837" s="85"/>
      <c r="G837" s="85"/>
    </row>
    <row r="838">
      <c r="F838" s="85"/>
      <c r="G838" s="85"/>
    </row>
    <row r="839">
      <c r="F839" s="85"/>
      <c r="G839" s="85"/>
    </row>
    <row r="840">
      <c r="F840" s="85"/>
      <c r="G840" s="85"/>
    </row>
    <row r="841">
      <c r="F841" s="85"/>
      <c r="G841" s="85"/>
    </row>
    <row r="842">
      <c r="F842" s="85"/>
      <c r="G842" s="85"/>
    </row>
    <row r="843">
      <c r="F843" s="85"/>
      <c r="G843" s="85"/>
    </row>
    <row r="844">
      <c r="F844" s="85"/>
      <c r="G844" s="85"/>
    </row>
    <row r="845">
      <c r="F845" s="85"/>
      <c r="G845" s="85"/>
    </row>
    <row r="846">
      <c r="F846" s="85"/>
      <c r="G846" s="85"/>
    </row>
    <row r="847">
      <c r="F847" s="85"/>
      <c r="G847" s="85"/>
    </row>
    <row r="848">
      <c r="F848" s="85"/>
      <c r="G848" s="85"/>
    </row>
    <row r="849">
      <c r="F849" s="85"/>
      <c r="G849" s="85"/>
    </row>
    <row r="850">
      <c r="F850" s="85"/>
      <c r="G850" s="85"/>
    </row>
    <row r="851">
      <c r="F851" s="85"/>
      <c r="G851" s="85"/>
    </row>
    <row r="852">
      <c r="F852" s="85"/>
      <c r="G852" s="85"/>
    </row>
    <row r="853">
      <c r="F853" s="85"/>
      <c r="G853" s="85"/>
    </row>
    <row r="854">
      <c r="F854" s="85"/>
      <c r="G854" s="85"/>
    </row>
    <row r="855">
      <c r="F855" s="85"/>
      <c r="G855" s="85"/>
    </row>
    <row r="856">
      <c r="F856" s="85"/>
      <c r="G856" s="85"/>
    </row>
    <row r="857">
      <c r="F857" s="85"/>
      <c r="G857" s="85"/>
    </row>
    <row r="858">
      <c r="F858" s="85"/>
      <c r="G858" s="85"/>
    </row>
    <row r="859">
      <c r="F859" s="85"/>
      <c r="G859" s="85"/>
    </row>
    <row r="860">
      <c r="F860" s="85"/>
      <c r="G860" s="85"/>
    </row>
    <row r="861">
      <c r="F861" s="85"/>
      <c r="G861" s="85"/>
    </row>
    <row r="862">
      <c r="F862" s="85"/>
      <c r="G862" s="85"/>
    </row>
    <row r="863">
      <c r="F863" s="85"/>
      <c r="G863" s="85"/>
    </row>
    <row r="864">
      <c r="F864" s="85"/>
      <c r="G864" s="85"/>
    </row>
    <row r="865">
      <c r="F865" s="85"/>
      <c r="G865" s="85"/>
    </row>
    <row r="866">
      <c r="F866" s="85"/>
      <c r="G866" s="85"/>
    </row>
    <row r="867">
      <c r="F867" s="85"/>
      <c r="G867" s="85"/>
    </row>
    <row r="868">
      <c r="F868" s="85"/>
      <c r="G868" s="85"/>
    </row>
    <row r="869">
      <c r="F869" s="85"/>
      <c r="G869" s="85"/>
    </row>
    <row r="870">
      <c r="F870" s="85"/>
      <c r="G870" s="85"/>
    </row>
    <row r="871">
      <c r="F871" s="85"/>
      <c r="G871" s="85"/>
    </row>
    <row r="872">
      <c r="F872" s="85"/>
      <c r="G872" s="85"/>
    </row>
    <row r="873">
      <c r="F873" s="85"/>
      <c r="G873" s="85"/>
    </row>
    <row r="874">
      <c r="F874" s="85"/>
      <c r="G874" s="85"/>
    </row>
    <row r="875">
      <c r="F875" s="85"/>
      <c r="G875" s="85"/>
    </row>
    <row r="876">
      <c r="F876" s="85"/>
      <c r="G876" s="85"/>
    </row>
    <row r="877">
      <c r="F877" s="85"/>
      <c r="G877" s="85"/>
    </row>
    <row r="878">
      <c r="F878" s="85"/>
      <c r="G878" s="85"/>
    </row>
    <row r="879">
      <c r="F879" s="85"/>
      <c r="G879" s="85"/>
    </row>
    <row r="880">
      <c r="F880" s="85"/>
      <c r="G880" s="85"/>
    </row>
    <row r="881">
      <c r="F881" s="85"/>
      <c r="G881" s="85"/>
    </row>
    <row r="882">
      <c r="F882" s="85"/>
      <c r="G882" s="85"/>
    </row>
    <row r="883">
      <c r="F883" s="85"/>
      <c r="G883" s="85"/>
    </row>
    <row r="884">
      <c r="F884" s="85"/>
      <c r="G884" s="85"/>
    </row>
    <row r="885">
      <c r="F885" s="85"/>
      <c r="G885" s="85"/>
    </row>
    <row r="886">
      <c r="F886" s="85"/>
      <c r="G886" s="85"/>
    </row>
    <row r="887">
      <c r="F887" s="85"/>
      <c r="G887" s="85"/>
    </row>
    <row r="888">
      <c r="F888" s="85"/>
      <c r="G888" s="85"/>
    </row>
    <row r="889">
      <c r="F889" s="85"/>
      <c r="G889" s="85"/>
    </row>
    <row r="890">
      <c r="F890" s="85"/>
      <c r="G890" s="85"/>
    </row>
    <row r="891">
      <c r="F891" s="85"/>
      <c r="G891" s="85"/>
    </row>
    <row r="892">
      <c r="F892" s="85"/>
      <c r="G892" s="85"/>
    </row>
    <row r="893">
      <c r="F893" s="85"/>
      <c r="G893" s="85"/>
    </row>
    <row r="894">
      <c r="F894" s="85"/>
      <c r="G894" s="85"/>
    </row>
    <row r="895">
      <c r="F895" s="85"/>
      <c r="G895" s="85"/>
    </row>
    <row r="896">
      <c r="F896" s="85"/>
      <c r="G896" s="85"/>
    </row>
    <row r="897">
      <c r="F897" s="85"/>
      <c r="G897" s="85"/>
    </row>
    <row r="898">
      <c r="F898" s="85"/>
      <c r="G898" s="85"/>
    </row>
    <row r="899">
      <c r="F899" s="85"/>
      <c r="G899" s="85"/>
    </row>
    <row r="900">
      <c r="F900" s="85"/>
      <c r="G900" s="85"/>
    </row>
    <row r="901">
      <c r="F901" s="85"/>
      <c r="G901" s="85"/>
    </row>
    <row r="902">
      <c r="F902" s="85"/>
      <c r="G902" s="85"/>
    </row>
    <row r="903">
      <c r="F903" s="85"/>
      <c r="G903" s="85"/>
    </row>
    <row r="904">
      <c r="F904" s="85"/>
      <c r="G904" s="85"/>
    </row>
    <row r="905">
      <c r="F905" s="85"/>
      <c r="G905" s="85"/>
    </row>
    <row r="906">
      <c r="F906" s="85"/>
      <c r="G906" s="85"/>
    </row>
    <row r="907">
      <c r="F907" s="85"/>
      <c r="G907" s="85"/>
    </row>
    <row r="908">
      <c r="F908" s="85"/>
      <c r="G908" s="85"/>
    </row>
    <row r="909">
      <c r="F909" s="85"/>
      <c r="G909" s="85"/>
    </row>
    <row r="910">
      <c r="F910" s="85"/>
      <c r="G910" s="85"/>
    </row>
    <row r="911">
      <c r="F911" s="85"/>
      <c r="G911" s="85"/>
    </row>
    <row r="912">
      <c r="F912" s="85"/>
      <c r="G912" s="85"/>
    </row>
    <row r="913">
      <c r="F913" s="85"/>
      <c r="G913" s="85"/>
    </row>
    <row r="914">
      <c r="F914" s="85"/>
      <c r="G914" s="85"/>
    </row>
    <row r="915">
      <c r="F915" s="85"/>
      <c r="G915" s="85"/>
    </row>
    <row r="916">
      <c r="F916" s="85"/>
      <c r="G916" s="85"/>
    </row>
    <row r="917">
      <c r="F917" s="85"/>
      <c r="G917" s="85"/>
    </row>
    <row r="918">
      <c r="F918" s="85"/>
      <c r="G918" s="85"/>
    </row>
    <row r="919">
      <c r="F919" s="85"/>
      <c r="G919" s="85"/>
    </row>
    <row r="920">
      <c r="F920" s="85"/>
      <c r="G920" s="85"/>
    </row>
    <row r="921">
      <c r="F921" s="85"/>
      <c r="G921" s="85"/>
    </row>
    <row r="922">
      <c r="F922" s="85"/>
      <c r="G922" s="85"/>
    </row>
    <row r="923">
      <c r="F923" s="85"/>
      <c r="G923" s="85"/>
    </row>
    <row r="924">
      <c r="F924" s="85"/>
      <c r="G924" s="85"/>
    </row>
    <row r="925">
      <c r="F925" s="85"/>
      <c r="G925" s="85"/>
    </row>
    <row r="926">
      <c r="F926" s="85"/>
      <c r="G926" s="85"/>
    </row>
    <row r="927">
      <c r="F927" s="85"/>
      <c r="G927" s="85"/>
    </row>
    <row r="928">
      <c r="F928" s="85"/>
      <c r="G928" s="85"/>
    </row>
    <row r="929">
      <c r="F929" s="85"/>
      <c r="G929" s="85"/>
    </row>
    <row r="930">
      <c r="F930" s="85"/>
      <c r="G930" s="85"/>
    </row>
    <row r="931">
      <c r="F931" s="85"/>
      <c r="G931" s="85"/>
    </row>
    <row r="932">
      <c r="F932" s="85"/>
      <c r="G932" s="85"/>
    </row>
    <row r="933">
      <c r="F933" s="85"/>
      <c r="G933" s="85"/>
    </row>
    <row r="934">
      <c r="F934" s="85"/>
      <c r="G934" s="85"/>
    </row>
    <row r="935">
      <c r="F935" s="85"/>
      <c r="G935" s="85"/>
    </row>
    <row r="936">
      <c r="F936" s="85"/>
      <c r="G936" s="85"/>
    </row>
    <row r="937">
      <c r="F937" s="85"/>
      <c r="G937" s="85"/>
    </row>
    <row r="938">
      <c r="F938" s="85"/>
      <c r="G938" s="85"/>
    </row>
    <row r="939">
      <c r="F939" s="85"/>
      <c r="G939" s="85"/>
    </row>
    <row r="940">
      <c r="F940" s="85"/>
      <c r="G940" s="85"/>
    </row>
    <row r="941">
      <c r="F941" s="85"/>
      <c r="G941" s="85"/>
    </row>
    <row r="942">
      <c r="F942" s="85"/>
      <c r="G942" s="85"/>
    </row>
    <row r="943">
      <c r="F943" s="85"/>
      <c r="G943" s="85"/>
    </row>
    <row r="944">
      <c r="F944" s="85"/>
      <c r="G944" s="85"/>
    </row>
    <row r="945">
      <c r="F945" s="85"/>
      <c r="G945" s="85"/>
    </row>
    <row r="946">
      <c r="F946" s="85"/>
      <c r="G946" s="85"/>
    </row>
    <row r="947">
      <c r="F947" s="85"/>
      <c r="G947" s="85"/>
    </row>
    <row r="948">
      <c r="F948" s="85"/>
      <c r="G948" s="85"/>
    </row>
    <row r="949">
      <c r="F949" s="85"/>
      <c r="G949" s="85"/>
    </row>
    <row r="950">
      <c r="F950" s="85"/>
      <c r="G950" s="85"/>
    </row>
    <row r="951">
      <c r="F951" s="85"/>
      <c r="G951" s="85"/>
    </row>
    <row r="952">
      <c r="F952" s="85"/>
      <c r="G952" s="85"/>
    </row>
    <row r="953">
      <c r="F953" s="85"/>
      <c r="G953" s="85"/>
    </row>
    <row r="954">
      <c r="F954" s="85"/>
      <c r="G954" s="85"/>
    </row>
    <row r="955">
      <c r="F955" s="85"/>
      <c r="G955" s="85"/>
    </row>
    <row r="956">
      <c r="F956" s="85"/>
      <c r="G956" s="85"/>
    </row>
    <row r="957">
      <c r="F957" s="85"/>
      <c r="G957" s="85"/>
    </row>
    <row r="958">
      <c r="F958" s="85"/>
      <c r="G958" s="85"/>
    </row>
    <row r="959">
      <c r="F959" s="85"/>
      <c r="G959" s="85"/>
    </row>
    <row r="960">
      <c r="F960" s="85"/>
      <c r="G960" s="85"/>
    </row>
    <row r="961">
      <c r="F961" s="85"/>
      <c r="G961" s="85"/>
    </row>
    <row r="962">
      <c r="F962" s="85"/>
      <c r="G962" s="85"/>
    </row>
    <row r="963">
      <c r="F963" s="85"/>
      <c r="G963" s="85"/>
    </row>
    <row r="964">
      <c r="F964" s="85"/>
      <c r="G964" s="85"/>
    </row>
    <row r="965">
      <c r="F965" s="85"/>
      <c r="G965" s="85"/>
    </row>
    <row r="966">
      <c r="F966" s="85"/>
      <c r="G966" s="85"/>
    </row>
    <row r="967">
      <c r="F967" s="85"/>
      <c r="G967" s="85"/>
    </row>
    <row r="968">
      <c r="F968" s="85"/>
      <c r="G968" s="85"/>
    </row>
    <row r="969">
      <c r="F969" s="85"/>
      <c r="G969" s="85"/>
    </row>
    <row r="970">
      <c r="F970" s="85"/>
      <c r="G970" s="85"/>
    </row>
    <row r="971">
      <c r="F971" s="85"/>
      <c r="G971" s="85"/>
    </row>
    <row r="972">
      <c r="F972" s="85"/>
      <c r="G972" s="85"/>
    </row>
    <row r="973">
      <c r="F973" s="85"/>
      <c r="G973" s="85"/>
    </row>
    <row r="974">
      <c r="F974" s="85"/>
      <c r="G974" s="85"/>
    </row>
    <row r="975">
      <c r="F975" s="85"/>
      <c r="G975" s="85"/>
    </row>
    <row r="976">
      <c r="F976" s="85"/>
      <c r="G976" s="85"/>
    </row>
    <row r="977">
      <c r="F977" s="85"/>
      <c r="G977" s="85"/>
    </row>
    <row r="978">
      <c r="F978" s="85"/>
      <c r="G978" s="85"/>
    </row>
    <row r="979">
      <c r="F979" s="85"/>
      <c r="G979" s="85"/>
    </row>
    <row r="980">
      <c r="F980" s="85"/>
      <c r="G980" s="85"/>
    </row>
    <row r="981">
      <c r="F981" s="85"/>
      <c r="G981" s="85"/>
    </row>
    <row r="982">
      <c r="F982" s="85"/>
      <c r="G982" s="85"/>
    </row>
    <row r="983">
      <c r="F983" s="85"/>
      <c r="G983" s="85"/>
    </row>
    <row r="984">
      <c r="F984" s="85"/>
      <c r="G984" s="85"/>
    </row>
    <row r="985">
      <c r="F985" s="85"/>
      <c r="G985" s="85"/>
    </row>
    <row r="986">
      <c r="F986" s="85"/>
      <c r="G986" s="85"/>
    </row>
    <row r="987">
      <c r="F987" s="85"/>
      <c r="G987" s="85"/>
    </row>
    <row r="988">
      <c r="F988" s="85"/>
      <c r="G988" s="85"/>
    </row>
    <row r="989">
      <c r="F989" s="85"/>
      <c r="G989" s="85"/>
    </row>
    <row r="990">
      <c r="F990" s="85"/>
      <c r="G990" s="85"/>
    </row>
    <row r="991">
      <c r="F991" s="85"/>
      <c r="G991" s="85"/>
    </row>
    <row r="992">
      <c r="F992" s="85"/>
      <c r="G992" s="85"/>
    </row>
    <row r="993">
      <c r="F993" s="85"/>
      <c r="G993" s="85"/>
    </row>
    <row r="994">
      <c r="F994" s="85"/>
      <c r="G994" s="85"/>
    </row>
    <row r="995">
      <c r="F995" s="85"/>
      <c r="G995" s="85"/>
    </row>
    <row r="996">
      <c r="F996" s="85"/>
      <c r="G996" s="85"/>
    </row>
    <row r="997">
      <c r="F997" s="85"/>
      <c r="G997" s="85"/>
    </row>
    <row r="998">
      <c r="F998" s="85"/>
      <c r="G998" s="85"/>
    </row>
    <row r="999">
      <c r="F999" s="85"/>
      <c r="G999" s="85"/>
    </row>
    <row r="1000">
      <c r="F1000" s="85"/>
      <c r="G1000" s="85"/>
    </row>
    <row r="1001">
      <c r="F1001" s="85"/>
      <c r="G1001" s="85"/>
    </row>
    <row r="1002">
      <c r="F1002" s="85"/>
      <c r="G1002" s="85"/>
    </row>
    <row r="1003">
      <c r="F1003" s="85"/>
      <c r="G1003" s="85"/>
    </row>
    <row r="1004">
      <c r="F1004" s="85"/>
      <c r="G1004" s="85"/>
    </row>
    <row r="1005">
      <c r="F1005" s="85"/>
      <c r="G1005" s="85"/>
    </row>
  </sheetData>
  <mergeCells count="1">
    <mergeCell ref="B14:B31"/>
  </mergeCells>
  <dataValidations>
    <dataValidation type="custom" allowBlank="1" showDropDown="1" sqref="G5:G9">
      <formula1>AND(ISNUMBER(G5),(NOT(OR(NOT(ISERROR(DATEVALUE(G5))), AND(ISNUMBER(G5), LEFT(CELL("format", G5))="D")))))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12.0"/>
    <col customWidth="1" min="3" max="3" width="13.38"/>
    <col customWidth="1" min="4" max="4" width="43.13"/>
  </cols>
  <sheetData>
    <row r="1" ht="22.5" customHeight="1">
      <c r="A1" s="104" t="s">
        <v>677</v>
      </c>
      <c r="B1" s="104" t="s">
        <v>678</v>
      </c>
      <c r="C1" s="104" t="s">
        <v>679</v>
      </c>
      <c r="D1" s="104" t="s">
        <v>680</v>
      </c>
    </row>
    <row r="2" ht="22.5" customHeight="1">
      <c r="A2" s="105" t="s">
        <v>681</v>
      </c>
      <c r="B2" s="105" t="s">
        <v>682</v>
      </c>
      <c r="C2" s="106">
        <v>50000.0</v>
      </c>
      <c r="D2" s="105" t="s">
        <v>262</v>
      </c>
    </row>
    <row r="3" ht="22.5" customHeight="1">
      <c r="A3" s="105" t="s">
        <v>683</v>
      </c>
      <c r="B3" s="105" t="s">
        <v>684</v>
      </c>
      <c r="C3" s="106">
        <v>4.0</v>
      </c>
      <c r="D3" s="105" t="s">
        <v>262</v>
      </c>
    </row>
    <row r="4" ht="22.5" customHeight="1">
      <c r="A4" s="105" t="s">
        <v>685</v>
      </c>
      <c r="B4" s="105" t="s">
        <v>686</v>
      </c>
      <c r="C4" s="106">
        <v>90.0</v>
      </c>
      <c r="D4" s="105" t="s">
        <v>262</v>
      </c>
    </row>
    <row r="5" ht="22.5" customHeight="1">
      <c r="A5" s="105" t="s">
        <v>687</v>
      </c>
      <c r="B5" s="105" t="s">
        <v>688</v>
      </c>
      <c r="C5" s="106">
        <v>2.66155</v>
      </c>
      <c r="D5" s="105" t="s">
        <v>689</v>
      </c>
    </row>
    <row r="6" ht="22.5" customHeight="1">
      <c r="A6" s="105" t="s">
        <v>690</v>
      </c>
      <c r="B6" s="105" t="s">
        <v>691</v>
      </c>
      <c r="C6" s="106">
        <v>1.5</v>
      </c>
      <c r="D6" s="105" t="s">
        <v>262</v>
      </c>
    </row>
    <row r="7" ht="22.5" customHeight="1">
      <c r="A7" s="105" t="s">
        <v>692</v>
      </c>
      <c r="B7" s="105" t="s">
        <v>280</v>
      </c>
      <c r="C7" s="106">
        <v>8.0</v>
      </c>
      <c r="D7" s="105" t="s">
        <v>693</v>
      </c>
    </row>
    <row r="8" ht="22.5" customHeight="1">
      <c r="A8" s="105" t="s">
        <v>281</v>
      </c>
      <c r="B8" s="105" t="s">
        <v>694</v>
      </c>
      <c r="C8" s="106">
        <v>0.716</v>
      </c>
      <c r="D8" s="105" t="s">
        <v>695</v>
      </c>
    </row>
    <row r="9" ht="22.5" customHeight="1">
      <c r="A9" s="107" t="s">
        <v>696</v>
      </c>
      <c r="B9" s="108"/>
      <c r="C9" s="109"/>
      <c r="D9" s="108"/>
    </row>
    <row r="10" ht="22.5" customHeight="1">
      <c r="A10" s="105" t="s">
        <v>697</v>
      </c>
      <c r="B10" s="105" t="s">
        <v>291</v>
      </c>
      <c r="C10" s="106">
        <v>5.0</v>
      </c>
      <c r="D10" s="105" t="s">
        <v>698</v>
      </c>
    </row>
    <row r="11" ht="22.5" customHeight="1">
      <c r="A11" s="105" t="s">
        <v>699</v>
      </c>
      <c r="B11" s="105" t="s">
        <v>309</v>
      </c>
      <c r="C11" s="106">
        <v>2000000.0</v>
      </c>
      <c r="D11" s="105" t="s">
        <v>262</v>
      </c>
    </row>
    <row r="12" ht="22.5" customHeight="1">
      <c r="A12" s="107" t="s">
        <v>700</v>
      </c>
      <c r="B12" s="108"/>
      <c r="C12" s="109"/>
      <c r="D12" s="108"/>
    </row>
    <row r="13" ht="22.5" customHeight="1">
      <c r="A13" s="105" t="s">
        <v>701</v>
      </c>
      <c r="B13" s="105" t="s">
        <v>309</v>
      </c>
      <c r="C13" s="106">
        <v>3500000.0</v>
      </c>
      <c r="D13" s="105" t="s">
        <v>702</v>
      </c>
    </row>
    <row r="14" ht="22.5" customHeight="1">
      <c r="A14" s="105" t="s">
        <v>703</v>
      </c>
      <c r="B14" s="105" t="s">
        <v>309</v>
      </c>
      <c r="C14" s="106"/>
      <c r="D14" s="105" t="s">
        <v>262</v>
      </c>
    </row>
    <row r="15" ht="22.5" customHeight="1">
      <c r="A15" s="107" t="s">
        <v>704</v>
      </c>
      <c r="B15" s="108"/>
      <c r="C15" s="109"/>
      <c r="D15" s="108"/>
    </row>
    <row r="16" ht="22.5" customHeight="1">
      <c r="A16" s="105" t="s">
        <v>705</v>
      </c>
      <c r="B16" s="105" t="s">
        <v>291</v>
      </c>
      <c r="C16" s="106">
        <v>15.0</v>
      </c>
      <c r="D16" s="105" t="s">
        <v>262</v>
      </c>
    </row>
    <row r="17" ht="22.5" customHeight="1">
      <c r="A17" s="105" t="s">
        <v>370</v>
      </c>
      <c r="B17" s="105" t="s">
        <v>371</v>
      </c>
      <c r="C17" s="106">
        <v>8.0</v>
      </c>
      <c r="D17" s="105"/>
    </row>
    <row r="20">
      <c r="A20" s="110" t="s">
        <v>706</v>
      </c>
      <c r="B20" s="111" t="s">
        <v>707</v>
      </c>
      <c r="C20" s="112">
        <f>1/C3</f>
        <v>0.25</v>
      </c>
      <c r="D20" s="113"/>
    </row>
    <row r="21">
      <c r="A21" s="110" t="s">
        <v>708</v>
      </c>
      <c r="B21" s="111" t="s">
        <v>709</v>
      </c>
      <c r="C21" s="112">
        <f>1/C6</f>
        <v>0.6666666667</v>
      </c>
      <c r="D21" s="113"/>
    </row>
    <row r="22">
      <c r="A22" s="110" t="s">
        <v>710</v>
      </c>
      <c r="B22" s="111" t="s">
        <v>711</v>
      </c>
      <c r="C22" s="112">
        <f>C2 * C20</f>
        <v>12500</v>
      </c>
      <c r="D22" s="113"/>
    </row>
    <row r="23">
      <c r="A23" s="110" t="s">
        <v>712</v>
      </c>
      <c r="B23" s="111" t="s">
        <v>300</v>
      </c>
      <c r="C23" s="112">
        <f>C2 * C21</f>
        <v>33333.33333</v>
      </c>
      <c r="D23" s="113"/>
    </row>
    <row r="24">
      <c r="A24" s="110" t="s">
        <v>713</v>
      </c>
      <c r="B24" s="111" t="s">
        <v>714</v>
      </c>
      <c r="C24" s="112">
        <f>C22 * C4</f>
        <v>1125000</v>
      </c>
      <c r="D24" s="113"/>
    </row>
    <row r="25">
      <c r="A25" s="110" t="s">
        <v>715</v>
      </c>
      <c r="B25" s="111" t="s">
        <v>714</v>
      </c>
      <c r="C25" s="112">
        <f>C23 * C7</f>
        <v>266666.6667</v>
      </c>
      <c r="D25" s="113"/>
    </row>
    <row r="26">
      <c r="A26" s="110" t="s">
        <v>716</v>
      </c>
      <c r="B26" s="111" t="s">
        <v>717</v>
      </c>
      <c r="C26" s="112">
        <f>C22 * C5</f>
        <v>33269.375</v>
      </c>
      <c r="D26" s="113"/>
    </row>
    <row r="27">
      <c r="A27" s="110" t="s">
        <v>718</v>
      </c>
      <c r="B27" s="111" t="s">
        <v>717</v>
      </c>
      <c r="C27" s="112">
        <f>C23 * C8</f>
        <v>23866.66667</v>
      </c>
      <c r="D27" s="113"/>
    </row>
    <row r="28">
      <c r="A28" s="110" t="s">
        <v>306</v>
      </c>
      <c r="B28" s="111" t="s">
        <v>714</v>
      </c>
      <c r="C28" s="112">
        <f>C24 - C25</f>
        <v>858333.3333</v>
      </c>
      <c r="D28" s="113"/>
    </row>
    <row r="29">
      <c r="A29" s="110" t="s">
        <v>719</v>
      </c>
      <c r="B29" s="111" t="s">
        <v>717</v>
      </c>
      <c r="C29" s="112">
        <f>C26 - C27</f>
        <v>9402.708333</v>
      </c>
      <c r="D29" s="113"/>
    </row>
    <row r="30">
      <c r="A30" s="110" t="s">
        <v>720</v>
      </c>
      <c r="B30" s="111" t="s">
        <v>714</v>
      </c>
      <c r="C30" s="112">
        <f>C11 * (1 - C17/100)^C10</f>
        <v>1318163.046</v>
      </c>
      <c r="D30" s="114" t="s">
        <v>721</v>
      </c>
    </row>
    <row r="31">
      <c r="A31" s="110" t="s">
        <v>722</v>
      </c>
      <c r="B31" s="111" t="s">
        <v>714</v>
      </c>
      <c r="C31" s="112">
        <f>C13 - C14</f>
        <v>3500000</v>
      </c>
      <c r="D31" s="113"/>
    </row>
    <row r="32">
      <c r="A32" s="110" t="s">
        <v>723</v>
      </c>
      <c r="B32" s="111" t="s">
        <v>714</v>
      </c>
      <c r="C32" s="112">
        <f>C31 - C30</f>
        <v>2181836.954</v>
      </c>
      <c r="D32" s="115" t="s">
        <v>724</v>
      </c>
    </row>
    <row r="33">
      <c r="A33" s="110" t="s">
        <v>725</v>
      </c>
      <c r="B33" s="111"/>
      <c r="C33" s="112">
        <f>(1 - (1 + C17/100)^-C16) / (C17/100)</f>
        <v>8.559478688</v>
      </c>
      <c r="D33" s="114" t="s">
        <v>726</v>
      </c>
    </row>
    <row r="34">
      <c r="A34" s="110" t="s">
        <v>727</v>
      </c>
      <c r="B34" s="111" t="s">
        <v>714</v>
      </c>
      <c r="C34" s="112">
        <f>C28 * C33</f>
        <v>7346885.874</v>
      </c>
      <c r="D34" s="113"/>
    </row>
    <row r="35">
      <c r="A35" s="110" t="s">
        <v>728</v>
      </c>
      <c r="B35" s="111" t="s">
        <v>717</v>
      </c>
      <c r="C35" s="112">
        <f>C29 * C33</f>
        <v>80482.28159</v>
      </c>
      <c r="D35" s="113"/>
    </row>
    <row r="36">
      <c r="A36" s="116" t="s">
        <v>314</v>
      </c>
      <c r="B36" s="111" t="s">
        <v>729</v>
      </c>
      <c r="C36" s="112">
        <f>C32 / C28</f>
        <v>2.541945965</v>
      </c>
      <c r="D36" s="113"/>
    </row>
    <row r="37">
      <c r="A37" s="110" t="s">
        <v>730</v>
      </c>
      <c r="B37" s="110" t="s">
        <v>318</v>
      </c>
      <c r="C37" s="112">
        <f>(C32 - C34) / C35</f>
        <v>-64.17622386</v>
      </c>
      <c r="D37" s="117" t="s">
        <v>731</v>
      </c>
      <c r="E37" s="118"/>
    </row>
  </sheetData>
  <dataValidations>
    <dataValidation type="custom" allowBlank="1" showDropDown="1" sqref="C2:C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